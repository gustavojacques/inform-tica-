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13_ncr:40009_{B9E0B962-4BF0-4D2F-8F45-26348747998A}" xr6:coauthVersionLast="36" xr6:coauthVersionMax="36" xr10:uidLastSave="{00000000-0000-0000-0000-000000000000}"/>
  <bookViews>
    <workbookView xWindow="0" yWindow="0" windowWidth="24720" windowHeight="12105" activeTab="1"/>
  </bookViews>
  <sheets>
    <sheet name="despesa_funcao" sheetId="1" r:id="rId1"/>
    <sheet name="Planilha2" sheetId="3" r:id="rId2"/>
    <sheet name="Planilha1" sheetId="2" r:id="rId3"/>
  </sheets>
  <calcPr calcId="0"/>
  <pivotCaches>
    <pivotCache cacheId="2" r:id="rId4"/>
  </pivotCaches>
</workbook>
</file>

<file path=xl/calcChain.xml><?xml version="1.0" encoding="utf-8"?>
<calcChain xmlns="http://schemas.openxmlformats.org/spreadsheetml/2006/main">
  <c r="H6" i="2" l="1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</calcChain>
</file>

<file path=xl/sharedStrings.xml><?xml version="1.0" encoding="utf-8"?>
<sst xmlns="http://schemas.openxmlformats.org/spreadsheetml/2006/main" count="2707" uniqueCount="569">
  <si>
    <t>Ano</t>
  </si>
  <si>
    <t>Mês</t>
  </si>
  <si>
    <t>Classificação orçamentária</t>
  </si>
  <si>
    <t>Secretaria</t>
  </si>
  <si>
    <t>Função</t>
  </si>
  <si>
    <t>Subfunção</t>
  </si>
  <si>
    <t>Natureza da despesa</t>
  </si>
  <si>
    <t>Fonte de recurso</t>
  </si>
  <si>
    <t>Empenhado (R$)</t>
  </si>
  <si>
    <t>Liquidado  (R$)</t>
  </si>
  <si>
    <t>Pago  (R$)</t>
  </si>
  <si>
    <t>05.10.3.1.90.11.04.122.0001.2.002.01.1100000</t>
  </si>
  <si>
    <t>Gabinete do Prefeito</t>
  </si>
  <si>
    <t>ADMINISTRAÇÃO</t>
  </si>
  <si>
    <t>ADMINISTRAÇÃO GERAL</t>
  </si>
  <si>
    <t>VENCIMENTOS E VANTAGENS FIXAS -  PESSOAL CIVIL</t>
  </si>
  <si>
    <t>TESOURO</t>
  </si>
  <si>
    <t>10.10.3.1.90.11.04.122.0002.2.003.01.1100000</t>
  </si>
  <si>
    <t>SECRETARIA DE GOVERNANÇA</t>
  </si>
  <si>
    <t>10.10.3.3.50.85.04.122.0002.2.004.01.1100000</t>
  </si>
  <si>
    <t>CONTRATO DE GESTÃO-</t>
  </si>
  <si>
    <t>10.10.3.3.90.14.04.122.0002.2.003.01.1100000</t>
  </si>
  <si>
    <t>DIÁRIAS - PESSOAL CIVIL</t>
  </si>
  <si>
    <t>10.10.3.3.90.30.04.122.0002.2.005.01.1100000</t>
  </si>
  <si>
    <t>MATERIAL DE CONSUMO</t>
  </si>
  <si>
    <t>10.10.3.3.90.30.04.122.0002.2.008.01.1100000</t>
  </si>
  <si>
    <t>10.10.3.3.90.30.04.122.0002.2.008.92.1000252</t>
  </si>
  <si>
    <t>TRANSFERENCIAS E CONVENIOS ESTADUAIS - VINCULADOS - EXERCÍCIO ANTERIOR</t>
  </si>
  <si>
    <t>10.10.3.3.90.30.04.122.0002.2.009.01.1100000</t>
  </si>
  <si>
    <t>10.10.3.3.90.33.04.122.0002.2.003.01.1100000</t>
  </si>
  <si>
    <t>PASSAGENS E DESPESAS COM LOCOMOÇÃO</t>
  </si>
  <si>
    <t>10.10.3.3.90.36.04.122.0002.2.003.01.1100000</t>
  </si>
  <si>
    <t>OUTROS SERVIÇOS DE TERCEIROS - PESSOA FÍSICA</t>
  </si>
  <si>
    <t>10.10.3.3.90.39.04.122.0002.2.003.01.1100000</t>
  </si>
  <si>
    <t>OUTROS SERVIÇOS DE TERCEIROS -  PESSOA JURÍDICA</t>
  </si>
  <si>
    <t>10.10.3.3.90.39.04.122.0002.2.004.01.1100000</t>
  </si>
  <si>
    <t>10.10.3.3.90.39.04.122.0002.2.005.01.1100000</t>
  </si>
  <si>
    <t>10.10.3.3.90.39.04.122.0002.2.007.01.1100000</t>
  </si>
  <si>
    <t>10.10.3.3.90.39.04.122.0002.2.008.01.1100000</t>
  </si>
  <si>
    <t>10.10.3.3.90.39.04.122.0002.2.009.01.1100000</t>
  </si>
  <si>
    <t>10.10.3.3.90.39.27.811.0002.2.006.01.1100000</t>
  </si>
  <si>
    <t>DESPORTO E LAZER</t>
  </si>
  <si>
    <t>DESPORTO DE RENDIMENTO</t>
  </si>
  <si>
    <t>10.10.3.3.90.48.27.811.0002.2.006.01.1100000</t>
  </si>
  <si>
    <t>OUTROS AUXÍLIOS FINANCEIROS A PESSOA FÍSICA</t>
  </si>
  <si>
    <t>10.10.3.3.90.92.04.122.0002.2.004.01.1100000</t>
  </si>
  <si>
    <t>DESPESAS DE EXERCÍCIOS ANTERIORES</t>
  </si>
  <si>
    <t>10.10.3.3.90.92.04.122.0002.2.005.01.1100000</t>
  </si>
  <si>
    <t>10.10.4.4.90.52.04.122.0002.2.005.01.1100000</t>
  </si>
  <si>
    <t>EQUIPAMENTOS E MATERIAL PERMANENTE</t>
  </si>
  <si>
    <t>10.10.4.4.90.52.04.122.0002.2.009.01.1100000</t>
  </si>
  <si>
    <t>15.10.3.1.90.11.04.122.0003.2.003.01.1100000</t>
  </si>
  <si>
    <t>SECRETARIA DE ASSUNTOS JURÍDICOS</t>
  </si>
  <si>
    <t>15.10.3.1.90.11.14.422.0003.2.012.02.1000047</t>
  </si>
  <si>
    <t>DIREITOS DA CIDADANIA</t>
  </si>
  <si>
    <t>DIREITOS INDIVIDUAIS, COLETIVOS E DIFUSOS</t>
  </si>
  <si>
    <t>TRANSFERENCIAS E CONVENIOS ESTADUAIS - VINCULADOS</t>
  </si>
  <si>
    <t>15.10.3.3.90.30.04.122.0003.2.010.01.1100000</t>
  </si>
  <si>
    <t>15.10.3.3.90.30.14.422.0003.2.012.03.1000133</t>
  </si>
  <si>
    <t>RECURSOS PROPRIOS DE FUNDOS ESPECIAIS DE DESPESA - VINCULADOS</t>
  </si>
  <si>
    <t>15.10.3.3.90.30.14.422.0003.2.012.92.1000047</t>
  </si>
  <si>
    <t>15.10.3.3.90.36.04.122.0003.2.003.01.1100000</t>
  </si>
  <si>
    <t>15.10.3.3.90.36.04.122.0003.2.010.01.1100000</t>
  </si>
  <si>
    <t>15.10.3.3.90.36.04.122.0003.2.011.01.1100000</t>
  </si>
  <si>
    <t>15.10.3.3.90.39.04.122.0003.2.003.01.1100000</t>
  </si>
  <si>
    <t>15.10.3.3.90.39.04.122.0003.2.010.01.1100000</t>
  </si>
  <si>
    <t>15.10.3.3.90.39.04.122.0003.2.011.01.1100000</t>
  </si>
  <si>
    <t>15.10.3.3.90.39.14.422.0003.2.012.03.1000133</t>
  </si>
  <si>
    <t>15.10.3.3.90.39.14.422.0003.2.012.92.1000047</t>
  </si>
  <si>
    <t>15.10.3.3.90.40.14.422.0003.2.012.92.1000047</t>
  </si>
  <si>
    <t>SERVIÇOS DE TECNOLOGIA DA INFORMAÇÃO E COMUNICAÇÃO - PJ</t>
  </si>
  <si>
    <t>15.10.3.3.90.92.04.122.0003.2.010.01.1100000</t>
  </si>
  <si>
    <t>15.10.4.4.90.52.14.422.0003.2.012.92.1000047</t>
  </si>
  <si>
    <t>20.10.3.1.90.11.04.122.0004.2.003.01.1100000</t>
  </si>
  <si>
    <t>SECRETARIA DE GESTÃO ADMINISTRATIVA E FINANÇAS</t>
  </si>
  <si>
    <t>20.10.3.3.71.70.04.122.0004.2.013.01.1100000</t>
  </si>
  <si>
    <t>RATEIO PELA PARTICIPAÇÃO EM CONSÓRCIO PÚBLICO</t>
  </si>
  <si>
    <t>20.10.3.3.90.30.04.122.0004.2.013.01.1100000</t>
  </si>
  <si>
    <t>20.10.3.3.90.30.04.122.0004.2.014.01.1100000</t>
  </si>
  <si>
    <t>20.10.3.3.90.30.04.122.0004.2.015.01.1100000</t>
  </si>
  <si>
    <t>20.10.3.3.90.36.04.122.0004.2.003.01.1100000</t>
  </si>
  <si>
    <t>20.10.3.3.90.39.04.122.0004.2.003.01.1100000</t>
  </si>
  <si>
    <t>20.10.3.3.90.39.04.122.0004.2.013.01.1100000</t>
  </si>
  <si>
    <t>20.10.3.3.90.39.04.122.0004.2.015.01.1100000</t>
  </si>
  <si>
    <t>20.10.3.3.90.40.04.122.0004.2.013.01.1100000</t>
  </si>
  <si>
    <t>20.10.3.3.90.40.04.122.0004.2.014.01.1100000</t>
  </si>
  <si>
    <t>20.10.3.3.90.40.04.122.0004.2.015.01.1100000</t>
  </si>
  <si>
    <t>20.10.3.3.90.92.04.122.0004.2.013.01.1100000</t>
  </si>
  <si>
    <t>20.10.3.3.90.92.04.122.0004.2.014.01.1100000</t>
  </si>
  <si>
    <t>20.10.3.3.90.92.04.122.0004.2.015.01.1100000</t>
  </si>
  <si>
    <t>20.10.4.4.90.52.04.122.0004.2.013.01.1100000</t>
  </si>
  <si>
    <t>30.10.3.1.90.11.15.127.0005.2.003.01.1100000</t>
  </si>
  <si>
    <t>SECRETARIA DE URBANISMO E SUSTENTABILIDADE</t>
  </si>
  <si>
    <t>URBANISMO</t>
  </si>
  <si>
    <t>ORDENAMENTO TERRITORIAL</t>
  </si>
  <si>
    <t>30.10.3.3.50.39.18.541.0005.2.018.03.1000050</t>
  </si>
  <si>
    <t>GESTÃO AMBIENTAL</t>
  </si>
  <si>
    <t>PRESERVAÇÃO E CONSERVAÇÃO AMBIENTAL</t>
  </si>
  <si>
    <t>OUTROS SERVIÇOS DE TERCEIROS -PESSOA JURÍDICA</t>
  </si>
  <si>
    <t>30.10.3.3.50.39.18.541.0005.2.018.93.1000068</t>
  </si>
  <si>
    <t>RECURSOS PROPRIOS DE FUNDOS ESPECIAIS DE DESPESA - VINCULADOS - EXERCÍCIO ANTERIOR</t>
  </si>
  <si>
    <t>30.10.3.3.71.70.18.541.0005.2.018.01.1000190</t>
  </si>
  <si>
    <t>30.10.3.3.90.30.15.127.0005.2.016.01.1100000</t>
  </si>
  <si>
    <t>30.10.3.3.90.30.18.541.0005.2.018.03.1000050</t>
  </si>
  <si>
    <t>30.10.3.3.90.36.15.127.0005.2.003.01.1100000</t>
  </si>
  <si>
    <t>30.10.3.3.90.39.15.127.0005.2.003.01.1100000</t>
  </si>
  <si>
    <t>30.10.3.3.90.39.15.127.0005.2.016.01.1100000</t>
  </si>
  <si>
    <t>30.10.3.3.90.39.15.127.0005.2.017.03.1000134</t>
  </si>
  <si>
    <t>30.10.3.3.90.39.18.541.0005.2.018.02.1000237</t>
  </si>
  <si>
    <t>30.10.3.3.90.39.18.541.0005.2.018.02.1000238</t>
  </si>
  <si>
    <t>30.10.3.3.90.39.18.541.0005.2.018.03.1000050</t>
  </si>
  <si>
    <t>30.10.3.3.90.39.18.541.0005.2.018.92.1000237</t>
  </si>
  <si>
    <t>30.10.3.3.90.39.18.541.0005.2.018.92.1000238</t>
  </si>
  <si>
    <t>30.10.4.4.90.52.18.541.0005.2.018.03.1000050</t>
  </si>
  <si>
    <t>35.10.3.1.90.11.15.451.0006.2.003.01.1100000</t>
  </si>
  <si>
    <t>SECRETARIA DE GESTÃO DE OBRAS</t>
  </si>
  <si>
    <t>INFRA-ESTRUTURA URBANA</t>
  </si>
  <si>
    <t>35.10.3.3.90.30.15.451.0006.2.019.01.1100000</t>
  </si>
  <si>
    <t>35.10.3.3.90.36.15.451.0006.2.003.01.1100000</t>
  </si>
  <si>
    <t>35.10.3.3.90.39.15.451.0006.2.003.01.1100000</t>
  </si>
  <si>
    <t>35.10.3.3.90.39.15.451.0006.2.019.01.1100000</t>
  </si>
  <si>
    <t>35.10.3.3.90.39.15.451.0006.2.019.03.1000134</t>
  </si>
  <si>
    <t>35.10.4.4.90.51.15.451.0006.1.001.01.1000137</t>
  </si>
  <si>
    <t>OBRAS E INSTALAÇÕES</t>
  </si>
  <si>
    <t>35.10.4.4.90.51.15.451.0006.1.001.01.1400000</t>
  </si>
  <si>
    <t>35.10.4.4.90.51.15.451.0006.1.001.03.1000134</t>
  </si>
  <si>
    <t>35.10.4.4.90.51.15.451.0006.1.001.03.5000072</t>
  </si>
  <si>
    <t>35.10.4.4.90.51.15.451.0006.1.001.93.5000072</t>
  </si>
  <si>
    <t>35.10.4.4.90.52.15.451.0006.2.019.01.1100000</t>
  </si>
  <si>
    <t>35.10.4.4.90.52.15.451.0006.2.019.93.1000050</t>
  </si>
  <si>
    <t>40.10.3.1.90.11.12.122.0007.2.024.01.1100000</t>
  </si>
  <si>
    <t>SECRETARIA DE EDUCAÇÃO E CIDADANIA</t>
  </si>
  <si>
    <t>EDUCAÇÃO</t>
  </si>
  <si>
    <t>40.10.3.1.90.11.12.361.0007.2.029.01.2200000</t>
  </si>
  <si>
    <t>ENSINO FUNDAMENTAL</t>
  </si>
  <si>
    <t>40.10.3.1.90.13.12.361.0007.2.029.01.2200000</t>
  </si>
  <si>
    <t>OBRIGAÇÕES PATRONAIS</t>
  </si>
  <si>
    <t>40.10.3.3.50.39.12.361.0007.2.027.01.2200000</t>
  </si>
  <si>
    <t>40.10.3.3.50.39.12.365.0007.2.021.01.2100000</t>
  </si>
  <si>
    <t>EDUCAÇÃO INFANTIL</t>
  </si>
  <si>
    <t>40.10.3.3.50.39.12.365.0007.2.028.01.2130000</t>
  </si>
  <si>
    <t>40.10.3.3.50.39.12.367.0007.2.026.01.2400000</t>
  </si>
  <si>
    <t>EDUCAÇÃO ESPECIAL</t>
  </si>
  <si>
    <t>40.10.3.3.90.08.12.361.0007.2.027.01.2200000</t>
  </si>
  <si>
    <t>OUTROS BENEFÍCIOS ASSISTENCIAIS DO SERVIDOR E DO MILITAR</t>
  </si>
  <si>
    <t>40.10.3.3.90.08.12.361.0007.2.029.01.2200000</t>
  </si>
  <si>
    <t>40.10.3.3.90.08.12.365.0007.2.028.01.2120000</t>
  </si>
  <si>
    <t>40.10.3.3.90.08.12.367.0007.2.026.01.2400000</t>
  </si>
  <si>
    <t>40.10.3.3.90.14.12.361.0007.2.029.01.2200000</t>
  </si>
  <si>
    <t>40.10.3.3.90.30.12.306.0007.2.020.05.2820032</t>
  </si>
  <si>
    <t>ALIMENTAÇÃO E NUTRIÇÃO</t>
  </si>
  <si>
    <t>TRANSFERENCIAS E CONVENIOS FEDERAIS - VINCULADOS</t>
  </si>
  <si>
    <t>40.10.3.3.90.30.12.306.0007.2.020.05.2830011</t>
  </si>
  <si>
    <t>40.10.3.3.90.30.12.306.0007.2.020.05.2840011</t>
  </si>
  <si>
    <t>40.10.3.3.90.30.12.306.0007.2.020.05.2850011</t>
  </si>
  <si>
    <t>40.10.3.3.90.30.12.361.0007.2.027.01.2200000</t>
  </si>
  <si>
    <t>40.10.3.3.90.30.12.361.0007.2.029.01.2200000</t>
  </si>
  <si>
    <t>40.10.3.3.90.30.12.365.0007.2.028.01.2120000</t>
  </si>
  <si>
    <t>40.10.3.3.90.30.12.365.0007.2.028.01.2130000</t>
  </si>
  <si>
    <t>40.10.3.3.90.30.12.366.0007.2.025.01.2200000</t>
  </si>
  <si>
    <t>EDUCAÇÃO DE JOVENS E ADULTOS</t>
  </si>
  <si>
    <t>40.10.3.3.90.36.12.361.0007.2.027.01.2200000</t>
  </si>
  <si>
    <t>40.10.3.3.90.36.12.361.0007.2.029.01.2200000</t>
  </si>
  <si>
    <t>40.10.3.3.90.36.12.361.0007.2.032.01.2200000</t>
  </si>
  <si>
    <t>40.10.3.3.90.36.12.361.0007.2.032.02.2200013</t>
  </si>
  <si>
    <t>40.10.3.3.90.36.12.365.0007.2.028.01.2120000</t>
  </si>
  <si>
    <t>40.10.3.3.90.36.12.365.0007.2.028.01.2130000</t>
  </si>
  <si>
    <t>40.10.3.3.90.36.12.365.0007.2.033.01.2100000</t>
  </si>
  <si>
    <t>40.10.3.3.90.37.12.361.0007.2.027.01.2200000</t>
  </si>
  <si>
    <t>LOCAÇÃO DE MÃO-DE-OBRA</t>
  </si>
  <si>
    <t>40.10.3.3.90.37.12.361.0007.2.029.01.2200000</t>
  </si>
  <si>
    <t>40.10.3.3.90.37.12.365.0007.2.028.01.2120000</t>
  </si>
  <si>
    <t>40.10.3.3.90.37.12.365.0007.2.028.01.2130000</t>
  </si>
  <si>
    <t>40.10.3.3.90.39.04.122.0007.2.022.01.2200103</t>
  </si>
  <si>
    <t>40.10.3.3.90.39.12.122.0007.2.024.01.1100000</t>
  </si>
  <si>
    <t>40.10.3.3.90.39.12.361.0007.2.027.01.2200000</t>
  </si>
  <si>
    <t>40.10.3.3.90.39.12.361.0007.2.029.01.2200000</t>
  </si>
  <si>
    <t>40.10.3.3.90.39.12.361.0007.2.031.01.2200000</t>
  </si>
  <si>
    <t>40.10.3.3.90.39.12.361.0007.2.032.01.2200000</t>
  </si>
  <si>
    <t>40.10.3.3.90.39.12.361.0007.2.032.02.2200013</t>
  </si>
  <si>
    <t>40.10.3.3.90.39.12.361.0007.2.032.05.2880089</t>
  </si>
  <si>
    <t>40.10.3.3.90.39.12.365.0007.2.028.01.2120000</t>
  </si>
  <si>
    <t>40.10.3.3.90.39.12.365.0007.2.028.01.2130000</t>
  </si>
  <si>
    <t>40.10.3.3.90.39.12.365.0007.2.033.01.2100000</t>
  </si>
  <si>
    <t>40.10.3.3.90.40.12.361.0007.2.029.01.2200000</t>
  </si>
  <si>
    <t>40.10.3.3.90.46.12.122.0007.2.024.01.1100000</t>
  </si>
  <si>
    <t>AUXÍLIO ALIMENTAÇÃO</t>
  </si>
  <si>
    <t>40.10.3.3.90.46.12.361.0007.2.027.01.2200000</t>
  </si>
  <si>
    <t>40.10.3.3.90.46.12.361.0007.2.029.01.2200000</t>
  </si>
  <si>
    <t>40.10.3.3.90.46.12.365.0007.2.028.01.2120000</t>
  </si>
  <si>
    <t>40.10.3.3.90.46.12.365.0007.2.028.01.2130000</t>
  </si>
  <si>
    <t>40.10.3.3.90.46.12.367.0007.2.026.01.2400000</t>
  </si>
  <si>
    <t>40.10.3.3.90.92.12.306.0007.2.020.01.2200000</t>
  </si>
  <si>
    <t>40.10.3.3.90.92.12.361.0007.2.027.01.2200000</t>
  </si>
  <si>
    <t>40.10.3.3.90.92.12.361.0007.2.029.01.2200000</t>
  </si>
  <si>
    <t>40.10.3.3.90.92.12.361.0007.2.031.01.2200000</t>
  </si>
  <si>
    <t>40.10.3.3.90.93.12.361.0007.2.027.01.2200000</t>
  </si>
  <si>
    <t>INDENIZAÇÕES E RESTITUIÇÕES</t>
  </si>
  <si>
    <t>40.10.3.3.91.39.12.361.0007.2.027.01.2200000</t>
  </si>
  <si>
    <t>OUTROS SERVIÇOS DE TERCEIROS - PESSOA JURÍDICA</t>
  </si>
  <si>
    <t>40.10.4.4.90.51.12.361.0007.1.003.01.2200000</t>
  </si>
  <si>
    <t>40.10.4.4.90.51.12.365.0007.1.004.01.2120000</t>
  </si>
  <si>
    <t>40.10.4.4.90.51.12.365.0007.1.004.01.2950261</t>
  </si>
  <si>
    <t>40.10.4.4.90.51.12.365.0007.1.004.05.2950261</t>
  </si>
  <si>
    <t>40.10.4.4.90.52.12.361.0007.2.027.01.2200000</t>
  </si>
  <si>
    <t>40.10.4.4.90.52.12.365.0007.2.028.01.2130000</t>
  </si>
  <si>
    <t>40.10.4.4.90.92.12.361.0007.1.003.01.2200000</t>
  </si>
  <si>
    <t>40.20.3.1.90.04.12.361.0007.2.036.02.2610000</t>
  </si>
  <si>
    <t>CONTRATAÇÃO POR TEMPO DETERMINADO</t>
  </si>
  <si>
    <t>40.20.3.1.90.04.12.365.0007.2.034.02.2710000</t>
  </si>
  <si>
    <t>40.20.3.1.90.04.12.365.0007.2.037.02.2720000</t>
  </si>
  <si>
    <t>40.20.3.1.90.11.12.361.0007.2.036.02.2610000</t>
  </si>
  <si>
    <t>40.20.3.1.90.11.12.361.0007.2.038.02.2610000</t>
  </si>
  <si>
    <t>40.20.3.1.90.11.12.365.0007.2.034.02.2710000</t>
  </si>
  <si>
    <t>40.20.3.1.90.11.12.365.0007.2.037.02.2720000</t>
  </si>
  <si>
    <t>40.20.3.1.90.11.12.367.0007.2.035.02.2610000</t>
  </si>
  <si>
    <t>40.20.3.1.90.13.12.361.0007.2.036.02.2610000</t>
  </si>
  <si>
    <t>40.20.3.1.90.13.12.365.0007.2.037.02.2720000</t>
  </si>
  <si>
    <t>40.20.3.1.90.16.12.361.0007.2.036.02.2610000</t>
  </si>
  <si>
    <t>OUTRAS DESPESAS VARIÁVEIS - PESSOAL CIVIL</t>
  </si>
  <si>
    <t>40.20.3.1.90.16.12.361.0007.2.038.02.2610000</t>
  </si>
  <si>
    <t>40.20.3.1.90.16.12.365.0007.2.034.02.2710000</t>
  </si>
  <si>
    <t>40.20.3.1.90.16.12.365.0007.2.037.02.2720000</t>
  </si>
  <si>
    <t>40.20.3.1.90.16.12.367.0007.2.035.02.2610000</t>
  </si>
  <si>
    <t>40.20.3.1.90.94.12.361.0007.2.036.02.2610000</t>
  </si>
  <si>
    <t>INDENIZAÇÕES E RESTITUIÇÕES TRABALHISTAS</t>
  </si>
  <si>
    <t>40.20.3.1.90.94.12.361.0007.2.038.02.2610000</t>
  </si>
  <si>
    <t>40.20.3.1.90.94.12.365.0007.2.037.02.2720000</t>
  </si>
  <si>
    <t>40.20.3.1.91.13.12.361.0007.2.036.02.2610000</t>
  </si>
  <si>
    <t>40.20.3.1.91.13.12.361.0007.2.038.02.2610000</t>
  </si>
  <si>
    <t>40.20.3.1.91.13.12.365.0007.2.034.02.2710000</t>
  </si>
  <si>
    <t>40.20.3.1.91.13.12.365.0007.2.037.02.2720000</t>
  </si>
  <si>
    <t>40.20.3.1.91.13.12.367.0007.2.035.02.2610000</t>
  </si>
  <si>
    <t>40.20.3.3.50.39.12.365.0007.2.037.02.2740000</t>
  </si>
  <si>
    <t>40.20.3.3.90.39.12.361.0007.2.036.05.2607004</t>
  </si>
  <si>
    <t>45.10.3.1.90.11.27.812.0008.2.003.01.1100000</t>
  </si>
  <si>
    <t>SECRETARIA DE ESPORTE E QUALIDADE DE VIDA</t>
  </si>
  <si>
    <t>DESPORTO COMUNITÁRIO</t>
  </si>
  <si>
    <t>45.10.3.3.50.39.27.812.0008.2.039.01.1100000</t>
  </si>
  <si>
    <t>45.10.3.3.50.85.27.812.0008.2.039.01.1100000</t>
  </si>
  <si>
    <t>45.10.3.3.90.30.27.812.0008.2.039.01.1100000</t>
  </si>
  <si>
    <t>45.10.3.3.90.30.27.812.0008.2.040.01.1100000</t>
  </si>
  <si>
    <t>45.10.3.3.90.30.27.812.0008.2.041.01.1100000</t>
  </si>
  <si>
    <t>45.10.3.3.90.31.27.812.0008.2.041.01.1100000</t>
  </si>
  <si>
    <t>PREMIAÇÕES CULTURAIS, ARTÍSTICAS, CIENTÍFICAS, DESPORTIVAS E OUTRAS</t>
  </si>
  <si>
    <t>45.10.3.3.90.36.27.812.0008.2.003.01.1100000</t>
  </si>
  <si>
    <t>45.10.3.3.90.36.27.812.0008.2.039.01.1100000</t>
  </si>
  <si>
    <t>45.10.3.3.90.36.27.812.0008.2.040.01.1100000</t>
  </si>
  <si>
    <t>45.10.3.3.90.36.27.812.0008.2.041.01.1100000</t>
  </si>
  <si>
    <t>45.10.3.3.90.39.27.812.0008.2.039.01.1100000</t>
  </si>
  <si>
    <t>45.10.3.3.90.39.27.812.0008.2.040.01.1100000</t>
  </si>
  <si>
    <t>45.10.3.3.90.39.27.812.0008.2.041.01.1100000</t>
  </si>
  <si>
    <t>45.10.3.3.90.39.27.812.0008.2.042.01.1100000</t>
  </si>
  <si>
    <t>45.10.3.3.90.39.27.812.0008.2.042.03.1000195</t>
  </si>
  <si>
    <t>45.10.3.3.90.48.27.812.0008.2.042.01.1100000</t>
  </si>
  <si>
    <t>45.10.3.3.90.48.27.812.0008.2.042.03.1000195</t>
  </si>
  <si>
    <t>45.10.3.3.90.92.27.812.0008.2.039.01.1100000</t>
  </si>
  <si>
    <t>45.10.3.3.90.92.27.812.0008.2.040.01.1100000</t>
  </si>
  <si>
    <t>45.10.3.3.90.92.27.812.0008.2.041.01.1100000</t>
  </si>
  <si>
    <t>45.10.3.3.90.92.27.812.0008.2.042.01.1100000</t>
  </si>
  <si>
    <t>45.10.4.4.90.52.27.812.0008.2.039.01.1100000</t>
  </si>
  <si>
    <t>50.10.3.1.90.11.08.244.0009.2.003.01.5100000</t>
  </si>
  <si>
    <t>SECRETARIA DE APOIO SOCIAL AO CIDADÃO</t>
  </si>
  <si>
    <t>ASSISTÊNCIA SOCIAL</t>
  </si>
  <si>
    <t>ASSISTÊNCIA COMUNITÁRIA</t>
  </si>
  <si>
    <t>50.10.3.3.50.39.08.244.0009.2.043.01.5100000</t>
  </si>
  <si>
    <t>50.10.3.3.50.39.08.244.0009.2.043.05.5000274</t>
  </si>
  <si>
    <t>50.10.3.3.50.39.08.244.0009.2.044.01.5100000</t>
  </si>
  <si>
    <t>50.10.3.3.50.39.08.244.0009.2.044.03.5000072</t>
  </si>
  <si>
    <t>50.10.3.3.50.39.08.244.0009.2.044.03.5000193</t>
  </si>
  <si>
    <t>50.10.3.3.50.92.08.244.0009.2.043.01.5100000</t>
  </si>
  <si>
    <t>50.10.3.3.90.30.08.244.0009.2.003.01.5100000</t>
  </si>
  <si>
    <t>50.10.3.3.90.30.08.244.0009.2.044.01.5100000</t>
  </si>
  <si>
    <t>50.10.3.3.90.30.08.244.0009.2.045.01.5100000</t>
  </si>
  <si>
    <t>50.10.3.3.90.32.08.244.0009.2.044.01.5100000</t>
  </si>
  <si>
    <t>MATERIAL, BEM OU SERVIÇO PARA DISTRIBUIÇÃO GRATUITA</t>
  </si>
  <si>
    <t>50.10.3.3.90.36.08.244.0009.2.003.01.5100000</t>
  </si>
  <si>
    <t>50.10.3.3.90.36.08.244.0009.2.043.05.5000275</t>
  </si>
  <si>
    <t>50.10.3.3.90.36.08.244.0009.2.043.05.5000276</t>
  </si>
  <si>
    <t>50.10.3.3.90.36.08.244.0009.2.046.01.5100000</t>
  </si>
  <si>
    <t>50.10.3.3.90.39.08.244.0009.2.003.01.5100000</t>
  </si>
  <si>
    <t>50.10.3.3.90.39.08.244.0009.2.043.05.5000276</t>
  </si>
  <si>
    <t>50.10.3.3.90.39.08.244.0009.2.045.01.5100000</t>
  </si>
  <si>
    <t>50.10.3.3.90.39.08.244.0009.2.046.01.5100000</t>
  </si>
  <si>
    <t>50.10.3.3.90.40.08.244.0009.2.045.01.5100000</t>
  </si>
  <si>
    <t>50.10.3.3.90.48.08.244.0009.2.043.01.5100000</t>
  </si>
  <si>
    <t>50.10.3.3.90.48.08.244.0009.2.043.02.5000213</t>
  </si>
  <si>
    <t>50.10.3.3.90.92.08.244.0009.2.045.01.5100000</t>
  </si>
  <si>
    <t>50.10.4.4.90.52.08.244.0009.2.043.92.5000256</t>
  </si>
  <si>
    <t>50.10.4.4.90.52.08.244.0009.2.044.01.5100000</t>
  </si>
  <si>
    <t>55.10.3.1.90.11.04.452.0010.2.003.01.1100000</t>
  </si>
  <si>
    <t>SECRETARIA DE MANUTENÇÃO DA CIDADE</t>
  </si>
  <si>
    <t>SERVIÇOS URBANOS</t>
  </si>
  <si>
    <t>55.10.3.3.50.39.17.512.0010.2.047.01.1100000</t>
  </si>
  <si>
    <t>SANEAMENTO</t>
  </si>
  <si>
    <t>SANEAMENTO BÁSICO URBANO</t>
  </si>
  <si>
    <t>55.10.3.3.90.30.04.452.0010.2.003.01.1100000</t>
  </si>
  <si>
    <t>55.10.3.3.90.30.04.452.0010.2.048.01.1100000</t>
  </si>
  <si>
    <t>55.10.3.3.90.30.15.452.0010.2.050.01.1100000</t>
  </si>
  <si>
    <t>55.10.3.3.90.30.17.512.0010.2.047.01.1100000</t>
  </si>
  <si>
    <t>55.10.3.3.90.36.04.452.0010.2.003.01.1100000</t>
  </si>
  <si>
    <t>55.10.3.3.90.39.04.452.0010.2.048.01.1100000</t>
  </si>
  <si>
    <t>55.10.3.3.90.39.15.451.0010.2.049.03.1000081</t>
  </si>
  <si>
    <t>55.10.3.3.90.39.15.452.0010.2.050.01.1100000</t>
  </si>
  <si>
    <t>55.10.3.3.90.39.17.512.0010.2.047.01.1100000</t>
  </si>
  <si>
    <t>55.10.3.3.90.92.15.451.0010.2.049.03.1000081</t>
  </si>
  <si>
    <t>55.10.3.3.90.92.15.452.0010.2.050.01.1100000</t>
  </si>
  <si>
    <t>55.10.4.4.90.51.15.451.0010.2.049.03.1000081</t>
  </si>
  <si>
    <t>55.10.4.4.90.52.15.452.0010.2.050.01.1100000</t>
  </si>
  <si>
    <t>60.10.3.1.90.11.10.122.0011.2.029.01.3100000</t>
  </si>
  <si>
    <t>SECRETARIA DE SAÚDE</t>
  </si>
  <si>
    <t>SAÚDE</t>
  </si>
  <si>
    <t>60.10.3.1.90.13.10.122.0011.2.029.01.3100000</t>
  </si>
  <si>
    <t>60.10.3.1.90.16.10.122.0011.2.029.01.3100000</t>
  </si>
  <si>
    <t>60.10.3.1.90.96.10.122.0011.2.029.01.3100000</t>
  </si>
  <si>
    <t>RESSARCIMENTO DE DESPESAS DE PESSOAL REQUISITADO</t>
  </si>
  <si>
    <t>60.10.3.1.91.13.10.122.0011.2.029.01.3100000</t>
  </si>
  <si>
    <t>60.10.3.3.90.08.10.122.0011.2.029.01.3100000</t>
  </si>
  <si>
    <t>60.10.3.3.90.14.10.122.0011.2.029.01.3100000</t>
  </si>
  <si>
    <t>60.10.3.3.90.30.10.122.0011.2.029.01.3100000</t>
  </si>
  <si>
    <t>60.10.3.3.90.36.10.122.0011.2.029.01.3100000</t>
  </si>
  <si>
    <t>60.10.3.3.90.37.10.122.0011.2.029.01.3100000</t>
  </si>
  <si>
    <t>60.10.3.3.90.39.10.122.0011.2.029.01.3100000</t>
  </si>
  <si>
    <t>60.10.3.3.90.39.10.122.0011.2.029.06.3400000</t>
  </si>
  <si>
    <t>OUTRAS FONTES DE RECURSOS</t>
  </si>
  <si>
    <t>60.10.3.3.90.39.10.301.0011.2.031.01.3010000</t>
  </si>
  <si>
    <t>ATENÇÃO BÁSICA</t>
  </si>
  <si>
    <t>60.10.3.3.90.46.10.122.0011.2.029.01.3100000</t>
  </si>
  <si>
    <t>60.10.3.3.90.92.10.122.0011.2.029.01.3100000</t>
  </si>
  <si>
    <t>60.10.3.3.90.92.10.301.0011.2.031.01.3010000</t>
  </si>
  <si>
    <t>60.20.3.1.90.11.10.304.0011.2.053.01.3030000</t>
  </si>
  <si>
    <t>VIGILÂNCIA SANITÁRIA</t>
  </si>
  <si>
    <t>60.20.3.1.90.11.10.305.0011.2.054.01.3030000</t>
  </si>
  <si>
    <t>VIGILÂNCIA EPIDEMIOLÓGICA</t>
  </si>
  <si>
    <t>60.20.3.1.90.11.10.305.0011.2.054.05.3130000</t>
  </si>
  <si>
    <t>60.20.3.1.90.13.10.305.0011.2.054.01.3030000</t>
  </si>
  <si>
    <t>60.20.3.1.90.16.10.305.0011.2.054.01.3030000</t>
  </si>
  <si>
    <t>60.20.3.1.90.94.10.304.0011.2.053.01.3030000</t>
  </si>
  <si>
    <t>60.20.3.1.91.13.10.304.0011.2.053.01.3030000</t>
  </si>
  <si>
    <t>60.20.3.1.91.13.10.305.0011.2.054.01.3030000</t>
  </si>
  <si>
    <t>60.20.3.3.50.39.10.305.0011.2.054.05.3030019</t>
  </si>
  <si>
    <t>60.20.3.3.90.30.04.304.0011.2.052.01.3030000</t>
  </si>
  <si>
    <t>60.20.3.3.90.30.10.304.0011.2.051.01.3030000</t>
  </si>
  <si>
    <t>60.20.3.3.90.30.10.304.0011.2.053.03.3000277</t>
  </si>
  <si>
    <t>60.20.3.3.90.30.10.305.0011.2.054.02.3030024</t>
  </si>
  <si>
    <t>60.20.3.3.90.30.10.305.0011.2.054.05.3030019</t>
  </si>
  <si>
    <t>60.20.3.3.90.36.10.304.0011.2.051.01.3030000</t>
  </si>
  <si>
    <t>60.20.3.3.90.36.10.305.0011.2.054.05.3030038</t>
  </si>
  <si>
    <t>60.20.3.3.90.39.04.304.0011.2.052.01.3030000</t>
  </si>
  <si>
    <t>60.20.3.3.90.39.04.304.0011.2.052.06.3030176</t>
  </si>
  <si>
    <t>60.20.3.3.90.39.10.304.0011.2.051.01.3030000</t>
  </si>
  <si>
    <t>60.20.3.3.90.39.10.304.0011.2.053.03.3000277</t>
  </si>
  <si>
    <t>60.20.3.3.90.39.10.304.0011.2.053.05.3030038</t>
  </si>
  <si>
    <t>60.20.3.3.90.39.10.305.0011.2.054.05.3030019</t>
  </si>
  <si>
    <t>60.20.3.3.90.39.10.305.0011.2.054.05.3030038</t>
  </si>
  <si>
    <t>60.20.3.3.90.92.04.304.0011.2.052.01.3030000</t>
  </si>
  <si>
    <t>60.20.3.3.90.92.10.304.0011.2.051.01.3030000</t>
  </si>
  <si>
    <t>60.30.3.3.50.39.10.302.0011.2.060.01.3020000</t>
  </si>
  <si>
    <t>ASSISTÊNCIA HOSPITALAR E AMBULATORIAL</t>
  </si>
  <si>
    <t>60.30.3.3.50.39.10.302.0011.2.060.05.3020023</t>
  </si>
  <si>
    <t>60.30.3.3.50.39.10.302.0011.2.061.01.3020000</t>
  </si>
  <si>
    <t>60.30.3.3.50.39.10.302.0011.2.062.01.3020000</t>
  </si>
  <si>
    <t>60.30.3.3.50.39.10.302.0011.2.062.05.3020023</t>
  </si>
  <si>
    <t>60.30.3.3.71.70.10.302.0011.2.059.01.3020000</t>
  </si>
  <si>
    <t>60.30.3.3.71.70.10.302.0011.2.059.05.3020023</t>
  </si>
  <si>
    <t>60.30.3.3.90.34.10.302.0011.2.059.01.3020000</t>
  </si>
  <si>
    <t>OUTRAS DESPESAS DE PESSOAL DECORRENTES DE CONTRATOS DE TERCEIRIZAÇÃO</t>
  </si>
  <si>
    <t>60.30.3.3.90.39.10.302.0011.2.059.01.3020000</t>
  </si>
  <si>
    <t>60.30.3.3.90.92.10.302.0011.2.059.01.3020000</t>
  </si>
  <si>
    <t>60.30.4.4.50.42.10.302.0011.2.062.01.3020000</t>
  </si>
  <si>
    <t>AUXÍLIOS</t>
  </si>
  <si>
    <t>60.30.4.4.90.51.10.302.0011.1.009.01.3020000</t>
  </si>
  <si>
    <t>60.30.4.4.90.51.10.302.0011.1.009.05.3020267</t>
  </si>
  <si>
    <t>60.30.4.4.90.51.10.302.0011.1.009.96.3000182</t>
  </si>
  <si>
    <t>OUTRAS FONTES DE RECURSOS - EXERCÍCIO ANTERIOR</t>
  </si>
  <si>
    <t>60.30.4.4.90.52.10.302.0011.1.009.95.8000055</t>
  </si>
  <si>
    <t>TRANSFERENCIAS E CONVENIOS FEDERAIS - VINCULADOS - EXERCÍCIO ANTERIOR</t>
  </si>
  <si>
    <t>60.50.3.1.90.11.10.301.0011.2.055.01.3010000</t>
  </si>
  <si>
    <t>60.50.3.1.90.11.10.301.0011.2.055.05.3130000</t>
  </si>
  <si>
    <t>60.50.3.1.90.11.10.301.0011.2.055.05.3700000</t>
  </si>
  <si>
    <t>60.50.3.1.90.13.10.301.0011.2.055.01.3010000</t>
  </si>
  <si>
    <t>60.50.3.1.90.16.10.301.0011.2.055.01.3010000</t>
  </si>
  <si>
    <t>60.50.3.1.90.94.10.301.0011.2.055.01.3010000</t>
  </si>
  <si>
    <t>60.50.3.1.91.13.10.301.0011.2.055.01.3010000</t>
  </si>
  <si>
    <t>60.50.3.3.50.39.10.301.0011.2.055.01.3010000</t>
  </si>
  <si>
    <t>60.50.3.3.50.39.10.301.0011.2.055.05.3700000</t>
  </si>
  <si>
    <t>60.50.3.3.90.30.10.301.0011.2.055.01.3010000</t>
  </si>
  <si>
    <t>60.50.3.3.90.30.10.301.0011.2.055.02.3010024</t>
  </si>
  <si>
    <t>60.50.3.3.90.30.10.301.0011.2.055.05.3010022</t>
  </si>
  <si>
    <t>60.50.3.3.90.30.10.301.0011.2.055.95.8001006</t>
  </si>
  <si>
    <t>60.50.3.3.90.30.10.301.0011.2.056.05.3010022</t>
  </si>
  <si>
    <t>60.50.3.3.90.30.10.303.0011.2.057.01.3040000</t>
  </si>
  <si>
    <t>SUPORTE PROFILÁTICO E TERAPÊUTICO</t>
  </si>
  <si>
    <t>60.50.3.3.90.32.10.303.0011.2.057.01.3040000</t>
  </si>
  <si>
    <t>60.50.3.3.90.32.10.303.0011.2.057.02.3040024</t>
  </si>
  <si>
    <t>60.50.3.3.90.32.10.303.0011.2.057.05.3040040</t>
  </si>
  <si>
    <t>60.50.3.3.90.36.10.301.0011.2.055.01.3010000</t>
  </si>
  <si>
    <t>60.50.3.3.90.37.10.301.0011.2.055.01.3010000</t>
  </si>
  <si>
    <t>60.50.3.3.90.39.10.301.0011.2.055.01.3010000</t>
  </si>
  <si>
    <t>60.50.3.3.90.39.10.301.0011.2.055.05.3010022</t>
  </si>
  <si>
    <t>60.50.3.3.90.39.10.301.0011.2.056.01.3010000</t>
  </si>
  <si>
    <t>60.50.3.3.90.39.10.301.0011.2.056.05.3010022</t>
  </si>
  <si>
    <t>60.50.3.3.90.40.10.301.0011.2.055.05.3010022</t>
  </si>
  <si>
    <t>60.50.3.3.90.48.10.301.0011.2.055.01.3010000</t>
  </si>
  <si>
    <t>60.50.3.3.90.92.10.301.0011.2.055.01.3010000</t>
  </si>
  <si>
    <t>60.50.4.4.90.51.10.301.0011.1.007.05.3010055</t>
  </si>
  <si>
    <t>60.50.4.4.90.51.10.301.0011.1.007.06.3000182</t>
  </si>
  <si>
    <t>60.50.4.4.90.51.10.301.0011.1.007.95.3010055</t>
  </si>
  <si>
    <t>60.50.4.4.90.52.10.301.0011.1.007.01.3010000</t>
  </si>
  <si>
    <t>60.50.4.4.90.52.10.301.0011.1.007.06.3000182</t>
  </si>
  <si>
    <t>60.70.3.1.90.11.10.302.0011.2.058.01.3020000</t>
  </si>
  <si>
    <t>60.70.3.1.90.13.10.302.0011.2.058.01.3020000</t>
  </si>
  <si>
    <t>60.70.3.1.90.16.10.302.0011.2.058.01.3020000</t>
  </si>
  <si>
    <t>60.70.3.1.90.94.10.302.0011.2.058.01.3020000</t>
  </si>
  <si>
    <t>60.70.3.1.91.13.10.302.0011.2.058.01.3020000</t>
  </si>
  <si>
    <t>60.70.3.3.50.39.10.302.0011.2.058.01.3020000</t>
  </si>
  <si>
    <t>60.70.3.3.50.39.10.302.0011.2.058.05.3700000</t>
  </si>
  <si>
    <t>60.70.3.3.50.92.10.302.0011.2.058.01.3020000</t>
  </si>
  <si>
    <t>60.70.3.3.90.30.10.302.0011.2.058.01.3020000</t>
  </si>
  <si>
    <t>60.70.3.3.90.30.10.302.0011.2.058.05.3020023</t>
  </si>
  <si>
    <t>60.70.3.3.90.32.10.302.0011.2.058.01.3020000</t>
  </si>
  <si>
    <t>60.70.3.3.90.32.10.302.0011.2.058.05.3020023</t>
  </si>
  <si>
    <t>60.70.3.3.90.36.10.302.0011.2.058.01.3020000</t>
  </si>
  <si>
    <t>60.70.3.3.90.37.10.302.0011.2.058.01.3020000</t>
  </si>
  <si>
    <t>60.70.3.3.90.39.10.302.0011.2.058.01.3020000</t>
  </si>
  <si>
    <t>60.70.3.3.90.39.10.302.0011.2.058.02.3020024</t>
  </si>
  <si>
    <t>60.70.3.3.90.39.10.302.0011.2.058.05.3020023</t>
  </si>
  <si>
    <t>60.70.3.3.90.39.10.302.0011.2.058.05.3700000</t>
  </si>
  <si>
    <t>60.70.3.3.90.39.10.302.0011.2.058.95.8001024</t>
  </si>
  <si>
    <t>60.70.3.3.90.39.10.302.0011.2.058.95.9021028</t>
  </si>
  <si>
    <t>60.70.3.3.90.40.10.302.0011.2.058.01.3020000</t>
  </si>
  <si>
    <t>60.70.3.3.90.48.10.302.0011.2.058.01.3020000</t>
  </si>
  <si>
    <t>60.70.3.3.90.92.10.302.0011.2.058.01.3020000</t>
  </si>
  <si>
    <t>60.70.3.3.90.92.10.302.0011.2.058.02.3020024</t>
  </si>
  <si>
    <t>60.70.4.4.90.51.10.302.0011.1.008.01.3020000</t>
  </si>
  <si>
    <t>60.70.4.4.90.51.10.302.0011.1.008.95.3020055</t>
  </si>
  <si>
    <t>60.70.4.4.90.52.10.302.0011.1.008.06.3000182</t>
  </si>
  <si>
    <t>65.10.3.1.90.11.26.122.0012.2.003.01.1100000</t>
  </si>
  <si>
    <t>SECRETARIA DE MOBILIDADE URBANA</t>
  </si>
  <si>
    <t>TRANSPORTE</t>
  </si>
  <si>
    <t>65.10.3.3.20.41.26.122.0012.2.063.03.4700000</t>
  </si>
  <si>
    <t>CONTRIBUIÇÕES</t>
  </si>
  <si>
    <t>65.10.3.3.90.30.26.122.0012.2.063.03.4000075</t>
  </si>
  <si>
    <t>65.10.3.3.90.30.26.122.0012.2.064.03.4000075</t>
  </si>
  <si>
    <t>65.10.3.3.90.36.26.122.0012.2.003.01.4000000</t>
  </si>
  <si>
    <t>65.10.3.3.90.36.26.122.0012.2.066.03.4000075</t>
  </si>
  <si>
    <t>65.10.3.3.90.39.26.122.0012.2.003.01.4000000</t>
  </si>
  <si>
    <t>65.10.3.3.90.39.26.122.0012.2.063.01.4000000</t>
  </si>
  <si>
    <t>65.10.3.3.90.39.26.122.0012.2.063.03.4000075</t>
  </si>
  <si>
    <t>65.10.3.3.90.39.26.122.0012.2.064.01.4000000</t>
  </si>
  <si>
    <t>65.10.3.3.90.39.26.122.0012.2.064.03.4000075</t>
  </si>
  <si>
    <t>65.10.3.3.90.39.26.453.0012.2.065.01.4000000</t>
  </si>
  <si>
    <t>TRANSPORTES COLETIVOS URBANOS</t>
  </si>
  <si>
    <t>65.10.3.3.90.39.26.453.0012.2.065.03.4000076</t>
  </si>
  <si>
    <t>65.10.3.3.90.39.26.453.0012.2.065.03.4000170</t>
  </si>
  <si>
    <t>65.10.3.3.90.92.26.122.0012.2.063.01.4000000</t>
  </si>
  <si>
    <t>65.10.3.3.90.92.26.122.0012.2.064.01.4000000</t>
  </si>
  <si>
    <t>65.10.3.3.90.92.26.453.0012.2.065.01.4000000</t>
  </si>
  <si>
    <t>65.10.3.3.90.93.26.122.0012.2.063.03.4000075</t>
  </si>
  <si>
    <t>65.10.3.3.90.93.26.453.0012.2.065.01.4000000</t>
  </si>
  <si>
    <t>65.10.4.4.90.51.26.451.0012.1.010.01.4000000</t>
  </si>
  <si>
    <t>65.10.4.4.90.51.26.451.0012.1.010.95.8021025</t>
  </si>
  <si>
    <t>65.10.4.4.90.92.26.451.0012.1.010.01.4000000</t>
  </si>
  <si>
    <t>70.10.3.1.90.11.04.122.0013.2.003.01.1100000</t>
  </si>
  <si>
    <t>SECRETARIA DE INOVAÇÃO E DESENVOLVIMENTO ECONÔMICO</t>
  </si>
  <si>
    <t>70.10.3.3.50.85.19.573.0013.2.071.01.1100000</t>
  </si>
  <si>
    <t>CIÊNCIA E TECNOLOGIA</t>
  </si>
  <si>
    <t>DIFUSÃO DO CONHECIMENTO CIENTÍFICO E TECNOLÓGICO</t>
  </si>
  <si>
    <t>70.10.3.3.90.30.11.333.0013.2.068.01.1100000</t>
  </si>
  <si>
    <t>TRABALHO</t>
  </si>
  <si>
    <t>EMPREGABILIDADE</t>
  </si>
  <si>
    <t>70.10.3.3.90.30.19.573.0013.2.071.01.1100000</t>
  </si>
  <si>
    <t>70.10.3.3.90.30.23.695.0013.2.069.01.1100000</t>
  </si>
  <si>
    <t>COMÉRCIO E SERVIÇOS</t>
  </si>
  <si>
    <t>TURISMO</t>
  </si>
  <si>
    <t>70.10.3.3.90.36.04.122.0013.2.003.01.1100000</t>
  </si>
  <si>
    <t>70.10.3.3.90.39.04.122.0013.2.003.01.1100000</t>
  </si>
  <si>
    <t>70.10.3.3.90.39.11.333.0013.2.067.01.1100000</t>
  </si>
  <si>
    <t>70.10.3.3.90.39.11.333.0013.2.068.01.1100000</t>
  </si>
  <si>
    <t>70.10.3.3.90.39.19.573.0013.2.071.01.1100000</t>
  </si>
  <si>
    <t>70.10.3.3.90.39.23.695.0013.2.069.01.1100000</t>
  </si>
  <si>
    <t>70.10.3.3.90.41.04.122.0013.2.072.01.1100000</t>
  </si>
  <si>
    <t>70.10.4.4.90.52.19.573.0013.2.071.01.1100000</t>
  </si>
  <si>
    <t>70.10.4.4.90.61.23.695.0013.2.069.03.7000000</t>
  </si>
  <si>
    <t>AQUISIÇÃO DE IMÓVEIS</t>
  </si>
  <si>
    <t>75.10.3.1.90.11.06.181.0014.2.003.01.1100000</t>
  </si>
  <si>
    <t>SECRETARIA DE PROTEÇÃO AO CIDADÃO</t>
  </si>
  <si>
    <t>SEGURANÇA PÚBLICA</t>
  </si>
  <si>
    <t>POLICIAMENTO</t>
  </si>
  <si>
    <t>75.10.3.1.90.11.06.181.0014.2.075.06.1000154</t>
  </si>
  <si>
    <t>75.10.3.3.50.39.06.181.0014.2.074.01.1100000</t>
  </si>
  <si>
    <t>75.10.3.3.50.92.06.181.0014.2.074.01.1100000</t>
  </si>
  <si>
    <t>75.10.3.3.90.14.06.181.0014.2.003.01.1100000</t>
  </si>
  <si>
    <t>75.10.3.3.90.30.06.181.0014.2.003.01.1100000</t>
  </si>
  <si>
    <t>75.10.3.3.90.30.06.181.0014.2.073.01.1100000</t>
  </si>
  <si>
    <t>75.10.3.3.90.30.06.181.0014.2.074.01.1100000</t>
  </si>
  <si>
    <t>75.10.3.3.90.30.06.181.0014.2.075.01.1100000</t>
  </si>
  <si>
    <t>75.10.3.3.90.30.06.181.0014.2.076.01.1100000</t>
  </si>
  <si>
    <t>75.10.3.3.90.34.06.181.0014.2.073.01.1100000</t>
  </si>
  <si>
    <t>75.10.3.3.90.36.06.181.0014.2.003.01.1100000</t>
  </si>
  <si>
    <t>75.10.3.3.90.36.06.181.0014.2.073.01.1100000</t>
  </si>
  <si>
    <t>75.10.3.3.90.39.06.181.0014.2.003.01.1100000</t>
  </si>
  <si>
    <t>75.10.3.3.90.39.06.181.0014.2.073.01.1100000</t>
  </si>
  <si>
    <t>75.10.3.3.90.39.06.181.0014.2.074.01.1100000</t>
  </si>
  <si>
    <t>75.10.3.3.90.39.06.181.0014.2.075.01.1100000</t>
  </si>
  <si>
    <t>75.10.3.3.90.39.06.181.0014.2.076.01.1100000</t>
  </si>
  <si>
    <t>75.10.3.3.90.92.06.181.0014.2.073.01.1100000</t>
  </si>
  <si>
    <t>75.10.3.3.90.92.06.181.0014.2.075.01.1100000</t>
  </si>
  <si>
    <t>75.10.3.3.90.92.06.181.0014.2.076.01.1100000</t>
  </si>
  <si>
    <t>80.10.3.1.90.07.09.272.0015.2.080.01.1100000</t>
  </si>
  <si>
    <t>ENCARGOS GERAIS DO MUNICÍPIO</t>
  </si>
  <si>
    <t>PREVIDÊNCIA SOCIAL</t>
  </si>
  <si>
    <t>PREVIDÊNCIA DO REGIME ESTATUTÁRIO</t>
  </si>
  <si>
    <t>CONTRIBUIÇÕES A ENTIDADES FECHADAS DE PREVIDÊNCIA</t>
  </si>
  <si>
    <t>80.10.3.1.90.11.04.122.0015.2.078.01.1100000</t>
  </si>
  <si>
    <t>80.10.3.1.90.13.09.271.0015.2.079.01.1100000</t>
  </si>
  <si>
    <t>PREVIDÊNCIA BÁSICA</t>
  </si>
  <si>
    <t>80.10.3.1.90.16.04.122.0015.2.078.01.1100000</t>
  </si>
  <si>
    <t>80.10.3.1.90.91.04.122.0015.0.001.01.1100000</t>
  </si>
  <si>
    <t>SENTENÇAS JUDICIAIS</t>
  </si>
  <si>
    <t>80.10.3.1.90.94.04.122.0015.2.078.01.1100000</t>
  </si>
  <si>
    <t>80.10.3.1.91.13.09.272.0015.2.080.01.1100000</t>
  </si>
  <si>
    <t>80.10.3.2.90.21.28.843.0015.0.002.01.1100000</t>
  </si>
  <si>
    <t>ENCARGOS ESPECIAIS</t>
  </si>
  <si>
    <t>SERVIÇO DA DÍVIDA INTERNA</t>
  </si>
  <si>
    <t>JUROS SOBRE A DÍVIDA POR CONTRATO</t>
  </si>
  <si>
    <t>80.10.3.2.90.21.28.843.0015.0.004.01.1100000</t>
  </si>
  <si>
    <t>80.10.3.2.90.21.28.844.0015.0.005.01.1100000</t>
  </si>
  <si>
    <t>SERVIÇO DA DÍVIDA EXTERNA</t>
  </si>
  <si>
    <t>80.10.3.2.91.21.28.843.0015.0.004.01.1100000</t>
  </si>
  <si>
    <t>JUROS SOBRE A DÍVIDA POR CONTRATO - INTRA-ORÇAMENTÁRIO</t>
  </si>
  <si>
    <t>80.10.3.3.90.08.04.122.0015.2.077.01.1100000</t>
  </si>
  <si>
    <t>80.10.3.3.90.39.04.122.0015.2.031.01.1100000</t>
  </si>
  <si>
    <t>80.10.3.3.90.39.04.122.0015.2.077.01.1100000</t>
  </si>
  <si>
    <t>80.10.3.3.90.46.04.122.0015.2.077.01.1100000</t>
  </si>
  <si>
    <t>80.10.3.3.90.47.04.122.0015.2.078.01.1100000</t>
  </si>
  <si>
    <t>OBRIGAÇÕES TRIBUTÁRIAS E CONTRIBUTIVAS</t>
  </si>
  <si>
    <t>80.10.3.3.90.91.04.122.0015.0.001.01.1100000</t>
  </si>
  <si>
    <t>80.10.3.3.90.92.04.122.0015.2.031.01.1100000</t>
  </si>
  <si>
    <t>80.10.3.3.90.93.04.122.0015.0.003.01.1100000</t>
  </si>
  <si>
    <t>80.10.3.3.90.93.04.122.0015.2.031.01.1100000</t>
  </si>
  <si>
    <t>80.10.4.6.90.71.28.843.0015.0.002.01.1100000</t>
  </si>
  <si>
    <t>PRINCIPAL DA DÍVIDA CONTRATUAL RESGATADA</t>
  </si>
  <si>
    <t>80.10.4.6.90.71.28.843.0015.0.004.01.1100000</t>
  </si>
  <si>
    <t>80.10.4.6.90.71.28.844.0015.0.005.01.1100000</t>
  </si>
  <si>
    <t>80.10.4.6.91.71.28.843.0015.0.004.01.1100000</t>
  </si>
  <si>
    <t>PRINCIPAL DA DÍVIDA CONTRATUAL RESGATADA - INTRA-ORÇAMENTÁRIO</t>
  </si>
  <si>
    <t>90.10.3.1.90.11.16.482.0016.2.003.01.1100000</t>
  </si>
  <si>
    <t>SECRETARIA DE HABITAÇÃO E REGULARIZAÇÃO FUNDIÁRIA</t>
  </si>
  <si>
    <t>HABITAÇÃO</t>
  </si>
  <si>
    <t>HABITAÇÃO URBANA</t>
  </si>
  <si>
    <t>90.10.3.3.90.30.16.482.0016.2.081.01.1100000</t>
  </si>
  <si>
    <t>90.10.3.3.90.36.16.482.0016.2.003.01.1100000</t>
  </si>
  <si>
    <t>90.10.3.3.90.36.16.482.0016.2.081.01.1100000</t>
  </si>
  <si>
    <t>90.10.3.3.90.39.16.482.0016.2.003.01.1100000</t>
  </si>
  <si>
    <t>90.10.3.3.90.39.16.482.0016.2.081.01.1100000</t>
  </si>
  <si>
    <t>90.10.3.3.90.39.16.482.0016.2.082.01.1100000</t>
  </si>
  <si>
    <t>90.10.3.3.90.40.16.482.0016.2.082.01.1100000</t>
  </si>
  <si>
    <t>90.10.3.3.90.92.16.482.0016.2.081.01.1100000</t>
  </si>
  <si>
    <t>90.10.4.4.90.51.16.482.0016.1.012.01.1100000</t>
  </si>
  <si>
    <t>90.10.4.4.90.52.16.482.0016.2.081.01.1100000</t>
  </si>
  <si>
    <t>90.10.4.4.90.52.16.482.0016.2.082.01.1100000</t>
  </si>
  <si>
    <t>90.10.4.4.90.92.16.482.0016.1.012.01.1100000</t>
  </si>
  <si>
    <t>total R$ pago</t>
  </si>
  <si>
    <t>total de itens</t>
  </si>
  <si>
    <t>secretaria</t>
  </si>
  <si>
    <t>Rótulos de Linha</t>
  </si>
  <si>
    <t>Total Geral</t>
  </si>
  <si>
    <t>Soma de total R$ pago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</si>
</sst>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R$&quot;\ * #,##0.00_-;\-&quot;R$&quot;\ * #,##0.00_-;_-&quot;R$&quot;\ 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4" fontId="0" fillId="0" borderId="0" xfId="0" applyNumberFormat="1"/>
    <xf numFmtId="0" fontId="0" fillId="0" borderId="10" xfId="0" applyFont="1" applyBorder="1"/>
    <xf numFmtId="0" fontId="0" fillId="0" borderId="11" xfId="0" applyFont="1" applyBorder="1"/>
    <xf numFmtId="0" fontId="0" fillId="0" borderId="0" xfId="0" applyFont="1" applyBorder="1"/>
    <xf numFmtId="0" fontId="0" fillId="0" borderId="0" xfId="0" applyFont="1"/>
    <xf numFmtId="44" fontId="0" fillId="0" borderId="0" xfId="1" applyFont="1" applyBorder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Moeda" xfId="1" builtinId="4"/>
    <cellStyle name="Neutro" xfId="9" builtinId="28" customBuiltin="1"/>
    <cellStyle name="Normal" xfId="0" builtinId="0"/>
    <cellStyle name="Nota" xfId="16" builtinId="10" customBuiltin="1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</cellStyles>
  <dxfs count="8">
    <dxf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top style="thin">
          <color theme="1"/>
        </top>
        <bottom style="thin">
          <color theme="1"/>
        </bottom>
      </border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[despesa_funcao (1).xlsx]Planilha2!Tabela dinâmica1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Planilha2!$B$1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cat>
            <c:strRef>
              <c:f>Planilha2!$A$2:$A$18</c:f>
              <c:strCache>
                <c:ptCount val="16"/>
                <c:pt idx="0">
                  <c:v>Gabinete do Prefeito</c:v>
                </c:pt>
                <c:pt idx="1">
                  <c:v>SECRETARIA DE INOVAÇÃO E DESENVOLVIMENTO ECONÔMICO</c:v>
                </c:pt>
                <c:pt idx="2">
                  <c:v>SECRETARIA DE HABITAÇÃO E REGULARIZAÇÃO FUNDIÁRIA</c:v>
                </c:pt>
                <c:pt idx="3">
                  <c:v>SECRETARIA DE ASSUNTOS JURÍDICOS</c:v>
                </c:pt>
                <c:pt idx="4">
                  <c:v>SECRETARIA DE URBANISMO E SUSTENTABILIDADE</c:v>
                </c:pt>
                <c:pt idx="5">
                  <c:v>SECRETARIA DE GESTÃO DE OBRAS</c:v>
                </c:pt>
                <c:pt idx="6">
                  <c:v>SECRETARIA DE GOVERNANÇA</c:v>
                </c:pt>
                <c:pt idx="7">
                  <c:v>SECRETARIA DE PROTEÇÃO AO CIDADÃO</c:v>
                </c:pt>
                <c:pt idx="8">
                  <c:v>SECRETARIA DE ESPORTE E QUALIDADE DE VIDA</c:v>
                </c:pt>
                <c:pt idx="9">
                  <c:v>SECRETARIA DE APOIO SOCIAL AO CIDADÃO</c:v>
                </c:pt>
                <c:pt idx="10">
                  <c:v>SECRETARIA DE GESTÃO ADMINISTRATIVA E FINANÇAS</c:v>
                </c:pt>
                <c:pt idx="11">
                  <c:v>SECRETARIA DE MANUTENÇÃO DA CIDADE</c:v>
                </c:pt>
                <c:pt idx="12">
                  <c:v>SECRETARIA DE MOBILIDADE URBANA</c:v>
                </c:pt>
                <c:pt idx="13">
                  <c:v>ENCARGOS GERAIS DO MUNICÍPIO</c:v>
                </c:pt>
                <c:pt idx="14">
                  <c:v>SECRETARIA DE SAÚDE</c:v>
                </c:pt>
                <c:pt idx="15">
                  <c:v>SECRETARIA DE EDUCAÇÃO E CIDADANIA</c:v>
                </c:pt>
              </c:strCache>
            </c:strRef>
          </c:cat>
          <c:val>
            <c:numRef>
              <c:f>Planilha2!$B$2:$B$18</c:f>
              <c:numCache>
                <c:formatCode>_("R$"* #,##0.00_);_("R$"* \(#,##0.00\);_("R$"* "-"??_);_(@_)</c:formatCode>
                <c:ptCount val="16"/>
                <c:pt idx="0">
                  <c:v>67673.06</c:v>
                </c:pt>
                <c:pt idx="1">
                  <c:v>474178.14999999997</c:v>
                </c:pt>
                <c:pt idx="2">
                  <c:v>924217.23</c:v>
                </c:pt>
                <c:pt idx="3">
                  <c:v>1182770.0299999998</c:v>
                </c:pt>
                <c:pt idx="4">
                  <c:v>1644914.53</c:v>
                </c:pt>
                <c:pt idx="5">
                  <c:v>2361341.12</c:v>
                </c:pt>
                <c:pt idx="6">
                  <c:v>3049447.7499999995</c:v>
                </c:pt>
                <c:pt idx="7">
                  <c:v>5438913.9299999978</c:v>
                </c:pt>
                <c:pt idx="8">
                  <c:v>5975771.5599999996</c:v>
                </c:pt>
                <c:pt idx="9">
                  <c:v>8654354.950000003</c:v>
                </c:pt>
                <c:pt idx="10">
                  <c:v>8665883.370000001</c:v>
                </c:pt>
                <c:pt idx="11">
                  <c:v>25107843.960000001</c:v>
                </c:pt>
                <c:pt idx="12">
                  <c:v>30679165.420000002</c:v>
                </c:pt>
                <c:pt idx="13">
                  <c:v>37463150.299999997</c:v>
                </c:pt>
                <c:pt idx="14">
                  <c:v>84243777.629999995</c:v>
                </c:pt>
                <c:pt idx="15">
                  <c:v>97415941.840000004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E5-469C-B0C1-C0E61647FC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647540367"/>
        <c:axId val="1660201503"/>
      </c:barChart>
      <c:catAx>
        <c:axId val="1647540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60201503"/>
        <c:crosses val="autoZero"/>
        <c:auto val="1"/>
        <c:lblAlgn val="ctr"/>
        <c:lblOffset val="100"/>
        <c:noMultiLvlLbl val="0"/>
      </c:catAx>
      <c:valAx>
        <c:axId val="1660201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47540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92D05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190499</xdr:rowOff>
    </xdr:from>
    <xdr:to>
      <xdr:col>17</xdr:col>
      <xdr:colOff>171450</xdr:colOff>
      <xdr:row>29</xdr:row>
      <xdr:rowOff>9524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B2A0BE2-6717-417F-8E92-6F36F08AD4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Fatec" refreshedDate="46094.905035532407" createdVersion="6" refreshedVersion="6" minRefreshableVersion="3" recordCount="16">
  <cacheSource type="worksheet">
    <worksheetSource name="Tabela4"/>
  </cacheSource>
  <cacheFields count="3">
    <cacheField name="secretaria" numFmtId="0">
      <sharedItems count="16">
        <s v="Gabinete do Prefeito"/>
        <s v="SECRETARIA DE GOVERNANÇA"/>
        <s v="SECRETARIA DE ASSUNTOS JURÍDICOS"/>
        <s v="SECRETARIA DE GESTÃO ADMINISTRATIVA E FINANÇAS"/>
        <s v="SECRETARIA DE URBANISMO E SUSTENTABILIDADE"/>
        <s v="SECRETARIA DE GESTÃO DE OBRAS"/>
        <s v="SECRETARIA DE EDUCAÇÃO E CIDADANIA"/>
        <s v="SECRETARIA DE ESPORTE E QUALIDADE DE VIDA"/>
        <s v="SECRETARIA DE APOIO SOCIAL AO CIDADÃO"/>
        <s v="SECRETARIA DE MANUTENÇÃO DA CIDADE"/>
        <s v="SECRETARIA DE SAÚDE"/>
        <s v="SECRETARIA DE MOBILIDADE URBANA"/>
        <s v="SECRETARIA DE INOVAÇÃO E DESENVOLVIMENTO ECONÔMICO"/>
        <s v="SECRETARIA DE PROTEÇÃO AO CIDADÃO"/>
        <s v="ENCARGOS GERAIS DO MUNICÍPIO"/>
        <s v="SECRETARIA DE HABITAÇÃO E REGULARIZAÇÃO FUNDIÁRIA"/>
      </sharedItems>
    </cacheField>
    <cacheField name="total R$ pago" numFmtId="44">
      <sharedItems containsSemiMixedTypes="0" containsString="0" containsNumber="1" minValue="67673.06" maxValue="97415941.840000004"/>
    </cacheField>
    <cacheField name="total de itens" numFmtId="0">
      <sharedItems containsSemiMixedTypes="0" containsString="0" containsNumber="1" containsInteger="1" minValue="1" maxValue="1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n v="67673.06"/>
    <n v="1"/>
  </r>
  <r>
    <x v="1"/>
    <n v="3049447.7499999995"/>
    <n v="21"/>
  </r>
  <r>
    <x v="2"/>
    <n v="1182770.0299999998"/>
    <n v="16"/>
  </r>
  <r>
    <x v="3"/>
    <n v="8665883.370000001"/>
    <n v="16"/>
  </r>
  <r>
    <x v="4"/>
    <n v="1644914.53"/>
    <n v="16"/>
  </r>
  <r>
    <x v="5"/>
    <n v="2361341.12"/>
    <n v="13"/>
  </r>
  <r>
    <x v="6"/>
    <n v="97415941.840000004"/>
    <n v="88"/>
  </r>
  <r>
    <x v="7"/>
    <n v="5975771.5599999996"/>
    <n v="23"/>
  </r>
  <r>
    <x v="8"/>
    <n v="8654354.950000003"/>
    <n v="25"/>
  </r>
  <r>
    <x v="9"/>
    <n v="25107843.960000001"/>
    <n v="15"/>
  </r>
  <r>
    <x v="10"/>
    <n v="84243777.629999995"/>
    <n v="115"/>
  </r>
  <r>
    <x v="11"/>
    <n v="30679165.420000002"/>
    <n v="22"/>
  </r>
  <r>
    <x v="12"/>
    <n v="474178.14999999997"/>
    <n v="14"/>
  </r>
  <r>
    <x v="13"/>
    <n v="5438913.9299999978"/>
    <n v="21"/>
  </r>
  <r>
    <x v="14"/>
    <n v="37463150.299999997"/>
    <n v="24"/>
  </r>
  <r>
    <x v="15"/>
    <n v="924217.23"/>
    <n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2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">
  <location ref="A1:B18" firstHeaderRow="1" firstDataRow="1" firstDataCol="1"/>
  <pivotFields count="3">
    <pivotField axis="axisRow" showAll="0" sortType="ascending">
      <items count="17">
        <item x="14"/>
        <item x="0"/>
        <item x="8"/>
        <item x="2"/>
        <item x="6"/>
        <item x="7"/>
        <item x="3"/>
        <item x="5"/>
        <item x="1"/>
        <item x="15"/>
        <item x="12"/>
        <item x="9"/>
        <item x="11"/>
        <item x="13"/>
        <item x="1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44" showAll="0"/>
    <pivotField showAll="0"/>
  </pivotFields>
  <rowFields count="1">
    <field x="0"/>
  </rowFields>
  <rowItems count="17">
    <i>
      <x v="1"/>
    </i>
    <i>
      <x v="10"/>
    </i>
    <i>
      <x v="9"/>
    </i>
    <i>
      <x v="3"/>
    </i>
    <i>
      <x v="15"/>
    </i>
    <i>
      <x v="7"/>
    </i>
    <i>
      <x v="8"/>
    </i>
    <i>
      <x v="13"/>
    </i>
    <i>
      <x v="5"/>
    </i>
    <i>
      <x v="2"/>
    </i>
    <i>
      <x v="6"/>
    </i>
    <i>
      <x v="11"/>
    </i>
    <i>
      <x v="12"/>
    </i>
    <i>
      <x/>
    </i>
    <i>
      <x v="14"/>
    </i>
    <i>
      <x v="4"/>
    </i>
    <i t="grand">
      <x/>
    </i>
  </rowItems>
  <colItems count="1">
    <i/>
  </colItems>
  <dataFields count="1">
    <dataField name="Soma de total R$ pago" fld="1" baseField="0" baseItem="0" numFmtId="44"/>
  </dataFields>
  <formats count="1">
    <format dxfId="0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Tabela1" displayName="Tabela1" ref="A1:K444" totalsRowShown="0">
  <autoFilter ref="A1:K444"/>
  <tableColumns count="11">
    <tableColumn id="1" name="Ano"/>
    <tableColumn id="2" name="Mês"/>
    <tableColumn id="3" name="Classificação orçamentária"/>
    <tableColumn id="4" name="Secretaria"/>
    <tableColumn id="5" name="Função"/>
    <tableColumn id="6" name="Subfunção"/>
    <tableColumn id="7" name="Natureza da despesa"/>
    <tableColumn id="8" name="Fonte de recurso"/>
    <tableColumn id="9" name="Empenhado (R$)"/>
    <tableColumn id="10" name="Liquidado  (R$)" dataDxfId="7"/>
    <tableColumn id="11" name="Pago  (R$)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id="4" name="Tabela4" displayName="Tabela4" ref="F5:H21" totalsRowShown="0" headerRowDxfId="3" dataDxfId="4" tableBorderDxfId="6">
  <autoFilter ref="F5:H21"/>
  <tableColumns count="3">
    <tableColumn id="1" name="secretaria" dataDxfId="5"/>
    <tableColumn id="2" name="total R$ pago" dataDxfId="2" dataCellStyle="Moeda">
      <calculatedColumnFormula>SUMIF(despesa_funcao!D:D,Tabela4[[#This Row],[secretaria]],despesa_funcao!K:K)</calculatedColumnFormula>
    </tableColumn>
    <tableColumn id="3" name="total de itens" dataDxfId="1">
      <calculatedColumnFormula>COUNTIF(despesa_funcao!D:D,Tabela4[[#This Row],[secretaria]])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4"/>
  <sheetViews>
    <sheetView topLeftCell="F1" workbookViewId="0">
      <selection activeCell="D1" sqref="D1:D1048576"/>
    </sheetView>
  </sheetViews>
  <sheetFormatPr defaultRowHeight="15" x14ac:dyDescent="0.25"/>
  <cols>
    <col min="1" max="1" width="6.7109375" customWidth="1"/>
    <col min="2" max="2" width="6.85546875" customWidth="1"/>
    <col min="3" max="3" width="40.85546875" bestFit="1" customWidth="1"/>
    <col min="4" max="4" width="57.42578125" bestFit="1" customWidth="1"/>
    <col min="5" max="5" width="23" bestFit="1" customWidth="1"/>
    <col min="6" max="6" width="53.28515625" bestFit="1" customWidth="1"/>
    <col min="7" max="7" width="74.140625" bestFit="1" customWidth="1"/>
    <col min="8" max="8" width="86" bestFit="1" customWidth="1"/>
    <col min="9" max="9" width="17.7109375" customWidth="1"/>
    <col min="10" max="10" width="16.28515625" customWidth="1"/>
    <col min="11" max="11" width="12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2026</v>
      </c>
      <c r="B2">
        <v>2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s="1">
        <v>67673.06</v>
      </c>
      <c r="J2" s="1">
        <v>67673.06</v>
      </c>
      <c r="K2" s="1">
        <v>67673.06</v>
      </c>
    </row>
    <row r="3" spans="1:11" x14ac:dyDescent="0.25">
      <c r="A3">
        <v>2026</v>
      </c>
      <c r="B3">
        <v>2</v>
      </c>
      <c r="C3" t="s">
        <v>17</v>
      </c>
      <c r="D3" t="s">
        <v>18</v>
      </c>
      <c r="E3" t="s">
        <v>13</v>
      </c>
      <c r="F3" t="s">
        <v>14</v>
      </c>
      <c r="G3" t="s">
        <v>15</v>
      </c>
      <c r="H3" t="s">
        <v>16</v>
      </c>
      <c r="I3" s="1">
        <v>937110.89</v>
      </c>
      <c r="J3" s="1">
        <v>937110.89</v>
      </c>
      <c r="K3" s="1">
        <v>937110.89</v>
      </c>
    </row>
    <row r="4" spans="1:11" x14ac:dyDescent="0.25">
      <c r="A4">
        <v>2026</v>
      </c>
      <c r="B4">
        <v>2</v>
      </c>
      <c r="C4" t="s">
        <v>19</v>
      </c>
      <c r="D4" t="s">
        <v>18</v>
      </c>
      <c r="E4" t="s">
        <v>13</v>
      </c>
      <c r="F4" t="s">
        <v>14</v>
      </c>
      <c r="G4" t="s">
        <v>20</v>
      </c>
      <c r="H4" t="s">
        <v>16</v>
      </c>
      <c r="I4">
        <v>0</v>
      </c>
      <c r="J4" s="1">
        <v>221405.73</v>
      </c>
      <c r="K4" s="1">
        <v>221405.73</v>
      </c>
    </row>
    <row r="5" spans="1:11" x14ac:dyDescent="0.25">
      <c r="A5">
        <v>2026</v>
      </c>
      <c r="B5">
        <v>2</v>
      </c>
      <c r="C5" t="s">
        <v>21</v>
      </c>
      <c r="D5" t="s">
        <v>18</v>
      </c>
      <c r="E5" t="s">
        <v>13</v>
      </c>
      <c r="F5" t="s">
        <v>14</v>
      </c>
      <c r="G5" t="s">
        <v>22</v>
      </c>
      <c r="H5" t="s">
        <v>16</v>
      </c>
      <c r="I5">
        <v>540</v>
      </c>
      <c r="J5">
        <v>540</v>
      </c>
      <c r="K5">
        <v>540</v>
      </c>
    </row>
    <row r="6" spans="1:11" x14ac:dyDescent="0.25">
      <c r="A6">
        <v>2026</v>
      </c>
      <c r="B6">
        <v>2</v>
      </c>
      <c r="C6" t="s">
        <v>23</v>
      </c>
      <c r="D6" t="s">
        <v>18</v>
      </c>
      <c r="E6" t="s">
        <v>13</v>
      </c>
      <c r="F6" t="s">
        <v>14</v>
      </c>
      <c r="G6" t="s">
        <v>24</v>
      </c>
      <c r="H6" t="s">
        <v>16</v>
      </c>
      <c r="I6" s="1">
        <v>47700.800000000003</v>
      </c>
      <c r="J6" s="1">
        <v>11858.2</v>
      </c>
      <c r="K6" s="1">
        <v>4684.8</v>
      </c>
    </row>
    <row r="7" spans="1:11" x14ac:dyDescent="0.25">
      <c r="A7">
        <v>2026</v>
      </c>
      <c r="B7">
        <v>2</v>
      </c>
      <c r="C7" t="s">
        <v>25</v>
      </c>
      <c r="D7" t="s">
        <v>18</v>
      </c>
      <c r="E7" t="s">
        <v>13</v>
      </c>
      <c r="F7" t="s">
        <v>14</v>
      </c>
      <c r="G7" t="s">
        <v>24</v>
      </c>
      <c r="H7" t="s">
        <v>16</v>
      </c>
      <c r="I7" s="1">
        <v>20770.78</v>
      </c>
      <c r="J7" s="1">
        <v>16492.95</v>
      </c>
      <c r="K7" s="1">
        <v>3140.73</v>
      </c>
    </row>
    <row r="8" spans="1:11" x14ac:dyDescent="0.25">
      <c r="A8">
        <v>2026</v>
      </c>
      <c r="B8">
        <v>2</v>
      </c>
      <c r="C8" t="s">
        <v>26</v>
      </c>
      <c r="D8" t="s">
        <v>18</v>
      </c>
      <c r="E8" t="s">
        <v>13</v>
      </c>
      <c r="F8" t="s">
        <v>14</v>
      </c>
      <c r="G8" t="s">
        <v>24</v>
      </c>
      <c r="H8" t="s">
        <v>27</v>
      </c>
      <c r="I8">
        <v>0</v>
      </c>
      <c r="J8" s="1">
        <v>1904.48</v>
      </c>
      <c r="K8" s="1">
        <v>1904.48</v>
      </c>
    </row>
    <row r="9" spans="1:11" x14ac:dyDescent="0.25">
      <c r="A9">
        <v>2026</v>
      </c>
      <c r="B9">
        <v>2</v>
      </c>
      <c r="C9" t="s">
        <v>28</v>
      </c>
      <c r="D9" t="s">
        <v>18</v>
      </c>
      <c r="E9" t="s">
        <v>13</v>
      </c>
      <c r="F9" t="s">
        <v>14</v>
      </c>
      <c r="G9" t="s">
        <v>24</v>
      </c>
      <c r="H9" t="s">
        <v>16</v>
      </c>
      <c r="I9">
        <v>0</v>
      </c>
      <c r="J9">
        <v>133.6</v>
      </c>
      <c r="K9">
        <v>0</v>
      </c>
    </row>
    <row r="10" spans="1:11" x14ac:dyDescent="0.25">
      <c r="A10">
        <v>2026</v>
      </c>
      <c r="B10">
        <v>2</v>
      </c>
      <c r="C10" t="s">
        <v>29</v>
      </c>
      <c r="D10" t="s">
        <v>18</v>
      </c>
      <c r="E10" t="s">
        <v>13</v>
      </c>
      <c r="F10" t="s">
        <v>14</v>
      </c>
      <c r="G10" t="s">
        <v>30</v>
      </c>
      <c r="H10" t="s">
        <v>16</v>
      </c>
      <c r="I10">
        <v>0</v>
      </c>
      <c r="J10" s="1">
        <v>24270</v>
      </c>
      <c r="K10" s="1">
        <v>21650</v>
      </c>
    </row>
    <row r="11" spans="1:11" x14ac:dyDescent="0.25">
      <c r="A11">
        <v>2026</v>
      </c>
      <c r="B11">
        <v>2</v>
      </c>
      <c r="C11" t="s">
        <v>31</v>
      </c>
      <c r="D11" t="s">
        <v>18</v>
      </c>
      <c r="E11" t="s">
        <v>13</v>
      </c>
      <c r="F11" t="s">
        <v>14</v>
      </c>
      <c r="G11" t="s">
        <v>32</v>
      </c>
      <c r="H11" t="s">
        <v>16</v>
      </c>
      <c r="I11" s="1">
        <v>15599.65</v>
      </c>
      <c r="J11" s="1">
        <v>15599.65</v>
      </c>
      <c r="K11" s="1">
        <v>15599.65</v>
      </c>
    </row>
    <row r="12" spans="1:11" x14ac:dyDescent="0.25">
      <c r="A12">
        <v>2026</v>
      </c>
      <c r="B12">
        <v>2</v>
      </c>
      <c r="C12" t="s">
        <v>33</v>
      </c>
      <c r="D12" t="s">
        <v>18</v>
      </c>
      <c r="E12" t="s">
        <v>13</v>
      </c>
      <c r="F12" t="s">
        <v>14</v>
      </c>
      <c r="G12" t="s">
        <v>34</v>
      </c>
      <c r="H12" t="s">
        <v>16</v>
      </c>
      <c r="I12" s="1">
        <v>12600</v>
      </c>
      <c r="J12" s="1">
        <v>12600</v>
      </c>
      <c r="K12" s="1">
        <v>12600</v>
      </c>
    </row>
    <row r="13" spans="1:11" x14ac:dyDescent="0.25">
      <c r="A13">
        <v>2026</v>
      </c>
      <c r="B13">
        <v>2</v>
      </c>
      <c r="C13" t="s">
        <v>35</v>
      </c>
      <c r="D13" t="s">
        <v>18</v>
      </c>
      <c r="E13" t="s">
        <v>13</v>
      </c>
      <c r="F13" t="s">
        <v>14</v>
      </c>
      <c r="G13" t="s">
        <v>34</v>
      </c>
      <c r="H13" t="s">
        <v>16</v>
      </c>
      <c r="I13" s="1">
        <v>414578.83</v>
      </c>
      <c r="J13" s="1">
        <v>751006.15</v>
      </c>
      <c r="K13" s="1">
        <v>676190.69</v>
      </c>
    </row>
    <row r="14" spans="1:11" x14ac:dyDescent="0.25">
      <c r="A14">
        <v>2026</v>
      </c>
      <c r="B14">
        <v>2</v>
      </c>
      <c r="C14" t="s">
        <v>36</v>
      </c>
      <c r="D14" t="s">
        <v>18</v>
      </c>
      <c r="E14" t="s">
        <v>13</v>
      </c>
      <c r="F14" t="s">
        <v>14</v>
      </c>
      <c r="G14" t="s">
        <v>34</v>
      </c>
      <c r="H14" t="s">
        <v>16</v>
      </c>
      <c r="I14" s="1">
        <v>133229.76999999999</v>
      </c>
      <c r="J14" s="1">
        <v>311190.69</v>
      </c>
      <c r="K14" s="1">
        <v>21163.22</v>
      </c>
    </row>
    <row r="15" spans="1:11" x14ac:dyDescent="0.25">
      <c r="A15">
        <v>2026</v>
      </c>
      <c r="B15">
        <v>2</v>
      </c>
      <c r="C15" t="s">
        <v>37</v>
      </c>
      <c r="D15" t="s">
        <v>18</v>
      </c>
      <c r="E15" t="s">
        <v>13</v>
      </c>
      <c r="F15" t="s">
        <v>14</v>
      </c>
      <c r="G15" t="s">
        <v>34</v>
      </c>
      <c r="H15" t="s">
        <v>16</v>
      </c>
      <c r="I15">
        <v>0</v>
      </c>
      <c r="J15" s="1">
        <v>1037297.6</v>
      </c>
      <c r="K15">
        <v>0</v>
      </c>
    </row>
    <row r="16" spans="1:11" x14ac:dyDescent="0.25">
      <c r="A16">
        <v>2026</v>
      </c>
      <c r="B16">
        <v>2</v>
      </c>
      <c r="C16" t="s">
        <v>38</v>
      </c>
      <c r="D16" t="s">
        <v>18</v>
      </c>
      <c r="E16" t="s">
        <v>13</v>
      </c>
      <c r="F16" t="s">
        <v>14</v>
      </c>
      <c r="G16" t="s">
        <v>34</v>
      </c>
      <c r="H16" t="s">
        <v>16</v>
      </c>
      <c r="I16">
        <v>0</v>
      </c>
      <c r="J16" s="1">
        <v>9435.2800000000007</v>
      </c>
      <c r="K16" s="1">
        <v>7747.63</v>
      </c>
    </row>
    <row r="17" spans="1:11" x14ac:dyDescent="0.25">
      <c r="A17">
        <v>2026</v>
      </c>
      <c r="B17">
        <v>2</v>
      </c>
      <c r="C17" t="s">
        <v>39</v>
      </c>
      <c r="D17" t="s">
        <v>18</v>
      </c>
      <c r="E17" t="s">
        <v>13</v>
      </c>
      <c r="F17" t="s">
        <v>14</v>
      </c>
      <c r="G17" t="s">
        <v>34</v>
      </c>
      <c r="H17" t="s">
        <v>16</v>
      </c>
      <c r="I17" s="1">
        <v>20264</v>
      </c>
      <c r="J17" s="1">
        <v>36914</v>
      </c>
      <c r="K17" s="1">
        <v>22694</v>
      </c>
    </row>
    <row r="18" spans="1:11" x14ac:dyDescent="0.25">
      <c r="A18">
        <v>2026</v>
      </c>
      <c r="B18">
        <v>2</v>
      </c>
      <c r="C18" t="s">
        <v>40</v>
      </c>
      <c r="D18" t="s">
        <v>18</v>
      </c>
      <c r="E18" t="s">
        <v>41</v>
      </c>
      <c r="F18" t="s">
        <v>42</v>
      </c>
      <c r="G18" t="s">
        <v>34</v>
      </c>
      <c r="H18" t="s">
        <v>16</v>
      </c>
      <c r="I18" s="1">
        <v>704593.99</v>
      </c>
      <c r="J18" s="1">
        <v>704593.99</v>
      </c>
      <c r="K18" s="1">
        <v>472544.05</v>
      </c>
    </row>
    <row r="19" spans="1:11" x14ac:dyDescent="0.25">
      <c r="A19">
        <v>2026</v>
      </c>
      <c r="B19">
        <v>2</v>
      </c>
      <c r="C19" t="s">
        <v>43</v>
      </c>
      <c r="D19" t="s">
        <v>18</v>
      </c>
      <c r="E19" t="s">
        <v>41</v>
      </c>
      <c r="F19" t="s">
        <v>42</v>
      </c>
      <c r="G19" t="s">
        <v>44</v>
      </c>
      <c r="H19" t="s">
        <v>16</v>
      </c>
      <c r="I19" s="1">
        <v>793828.98</v>
      </c>
      <c r="J19" s="1">
        <v>793828.98</v>
      </c>
      <c r="K19" s="1">
        <v>626968.98</v>
      </c>
    </row>
    <row r="20" spans="1:11" x14ac:dyDescent="0.25">
      <c r="A20">
        <v>2026</v>
      </c>
      <c r="B20">
        <v>2</v>
      </c>
      <c r="C20" t="s">
        <v>45</v>
      </c>
      <c r="D20" t="s">
        <v>18</v>
      </c>
      <c r="E20" t="s">
        <v>13</v>
      </c>
      <c r="F20" t="s">
        <v>14</v>
      </c>
      <c r="G20" t="s">
        <v>46</v>
      </c>
      <c r="H20" t="s">
        <v>16</v>
      </c>
      <c r="I20" s="1">
        <v>38943.279999999999</v>
      </c>
      <c r="J20" s="1">
        <v>38943.279999999999</v>
      </c>
      <c r="K20">
        <v>0</v>
      </c>
    </row>
    <row r="21" spans="1:11" x14ac:dyDescent="0.25">
      <c r="A21">
        <v>2026</v>
      </c>
      <c r="B21">
        <v>2</v>
      </c>
      <c r="C21" t="s">
        <v>47</v>
      </c>
      <c r="D21" t="s">
        <v>18</v>
      </c>
      <c r="E21" t="s">
        <v>13</v>
      </c>
      <c r="F21" t="s">
        <v>14</v>
      </c>
      <c r="G21" t="s">
        <v>46</v>
      </c>
      <c r="H21" t="s">
        <v>16</v>
      </c>
      <c r="I21" s="1">
        <v>2784.5</v>
      </c>
      <c r="J21" s="1">
        <v>2784.5</v>
      </c>
      <c r="K21" s="1">
        <v>2784.5</v>
      </c>
    </row>
    <row r="22" spans="1:11" x14ac:dyDescent="0.25">
      <c r="A22">
        <v>2026</v>
      </c>
      <c r="B22">
        <v>2</v>
      </c>
      <c r="C22" t="s">
        <v>48</v>
      </c>
      <c r="D22" t="s">
        <v>18</v>
      </c>
      <c r="E22" t="s">
        <v>13</v>
      </c>
      <c r="F22" t="s">
        <v>14</v>
      </c>
      <c r="G22" t="s">
        <v>49</v>
      </c>
      <c r="H22" t="s">
        <v>16</v>
      </c>
      <c r="I22" s="1">
        <v>2686.68</v>
      </c>
      <c r="J22">
        <v>0</v>
      </c>
      <c r="K22">
        <v>0</v>
      </c>
    </row>
    <row r="23" spans="1:11" x14ac:dyDescent="0.25">
      <c r="A23">
        <v>2026</v>
      </c>
      <c r="B23">
        <v>2</v>
      </c>
      <c r="C23" t="s">
        <v>50</v>
      </c>
      <c r="D23" t="s">
        <v>18</v>
      </c>
      <c r="E23" t="s">
        <v>13</v>
      </c>
      <c r="F23" t="s">
        <v>14</v>
      </c>
      <c r="G23" t="s">
        <v>49</v>
      </c>
      <c r="H23" t="s">
        <v>16</v>
      </c>
      <c r="I23" s="1">
        <v>1307.8</v>
      </c>
      <c r="J23">
        <v>718.4</v>
      </c>
      <c r="K23">
        <v>718.4</v>
      </c>
    </row>
    <row r="24" spans="1:11" x14ac:dyDescent="0.25">
      <c r="A24">
        <v>2026</v>
      </c>
      <c r="B24">
        <v>2</v>
      </c>
      <c r="C24" t="s">
        <v>51</v>
      </c>
      <c r="D24" t="s">
        <v>52</v>
      </c>
      <c r="E24" t="s">
        <v>13</v>
      </c>
      <c r="F24" t="s">
        <v>14</v>
      </c>
      <c r="G24" t="s">
        <v>15</v>
      </c>
      <c r="H24" t="s">
        <v>16</v>
      </c>
      <c r="I24" s="1">
        <v>825359.69</v>
      </c>
      <c r="J24" s="1">
        <v>825359.69</v>
      </c>
      <c r="K24" s="1">
        <v>825359.69</v>
      </c>
    </row>
    <row r="25" spans="1:11" x14ac:dyDescent="0.25">
      <c r="A25">
        <v>2026</v>
      </c>
      <c r="B25">
        <v>2</v>
      </c>
      <c r="C25" t="s">
        <v>53</v>
      </c>
      <c r="D25" t="s">
        <v>52</v>
      </c>
      <c r="E25" t="s">
        <v>54</v>
      </c>
      <c r="F25" t="s">
        <v>55</v>
      </c>
      <c r="G25" t="s">
        <v>15</v>
      </c>
      <c r="H25" t="s">
        <v>56</v>
      </c>
      <c r="I25" s="1">
        <v>52580.21</v>
      </c>
      <c r="J25" s="1">
        <v>52580.21</v>
      </c>
      <c r="K25" s="1">
        <v>52580.21</v>
      </c>
    </row>
    <row r="26" spans="1:11" x14ac:dyDescent="0.25">
      <c r="A26">
        <v>2026</v>
      </c>
      <c r="B26">
        <v>2</v>
      </c>
      <c r="C26" t="s">
        <v>57</v>
      </c>
      <c r="D26" t="s">
        <v>52</v>
      </c>
      <c r="E26" t="s">
        <v>13</v>
      </c>
      <c r="F26" t="s">
        <v>14</v>
      </c>
      <c r="G26" t="s">
        <v>24</v>
      </c>
      <c r="H26" t="s">
        <v>16</v>
      </c>
      <c r="I26" s="1">
        <v>2939.2</v>
      </c>
      <c r="J26">
        <v>250.5</v>
      </c>
      <c r="K26">
        <v>0</v>
      </c>
    </row>
    <row r="27" spans="1:11" x14ac:dyDescent="0.25">
      <c r="A27">
        <v>2026</v>
      </c>
      <c r="B27">
        <v>2</v>
      </c>
      <c r="C27" t="s">
        <v>58</v>
      </c>
      <c r="D27" t="s">
        <v>52</v>
      </c>
      <c r="E27" t="s">
        <v>54</v>
      </c>
      <c r="F27" t="s">
        <v>55</v>
      </c>
      <c r="G27" t="s">
        <v>24</v>
      </c>
      <c r="H27" t="s">
        <v>59</v>
      </c>
      <c r="I27">
        <v>0</v>
      </c>
      <c r="J27">
        <v>292.25</v>
      </c>
      <c r="K27">
        <v>0</v>
      </c>
    </row>
    <row r="28" spans="1:11" x14ac:dyDescent="0.25">
      <c r="A28">
        <v>2026</v>
      </c>
      <c r="B28">
        <v>2</v>
      </c>
      <c r="C28" t="s">
        <v>60</v>
      </c>
      <c r="D28" t="s">
        <v>52</v>
      </c>
      <c r="E28" t="s">
        <v>54</v>
      </c>
      <c r="F28" t="s">
        <v>55</v>
      </c>
      <c r="G28" t="s">
        <v>24</v>
      </c>
      <c r="H28" t="s">
        <v>27</v>
      </c>
      <c r="I28">
        <v>314.75</v>
      </c>
      <c r="J28">
        <v>41.75</v>
      </c>
      <c r="K28">
        <v>0</v>
      </c>
    </row>
    <row r="29" spans="1:11" x14ac:dyDescent="0.25">
      <c r="A29">
        <v>2026</v>
      </c>
      <c r="B29">
        <v>2</v>
      </c>
      <c r="C29" t="s">
        <v>61</v>
      </c>
      <c r="D29" t="s">
        <v>52</v>
      </c>
      <c r="E29" t="s">
        <v>13</v>
      </c>
      <c r="F29" t="s">
        <v>14</v>
      </c>
      <c r="G29" t="s">
        <v>32</v>
      </c>
      <c r="H29" t="s">
        <v>16</v>
      </c>
      <c r="I29" s="1">
        <v>61748.45</v>
      </c>
      <c r="J29" s="1">
        <v>61748.45</v>
      </c>
      <c r="K29" s="1">
        <v>61748.45</v>
      </c>
    </row>
    <row r="30" spans="1:11" x14ac:dyDescent="0.25">
      <c r="A30">
        <v>2026</v>
      </c>
      <c r="B30">
        <v>2</v>
      </c>
      <c r="C30" t="s">
        <v>62</v>
      </c>
      <c r="D30" t="s">
        <v>52</v>
      </c>
      <c r="E30" t="s">
        <v>13</v>
      </c>
      <c r="F30" t="s">
        <v>14</v>
      </c>
      <c r="G30" t="s">
        <v>32</v>
      </c>
      <c r="H30" t="s">
        <v>16</v>
      </c>
      <c r="I30" s="1">
        <v>3736.09</v>
      </c>
      <c r="J30" s="1">
        <v>3736.09</v>
      </c>
      <c r="K30">
        <v>207.47</v>
      </c>
    </row>
    <row r="31" spans="1:11" x14ac:dyDescent="0.25">
      <c r="A31">
        <v>2026</v>
      </c>
      <c r="B31">
        <v>2</v>
      </c>
      <c r="C31" t="s">
        <v>63</v>
      </c>
      <c r="D31" t="s">
        <v>52</v>
      </c>
      <c r="E31" t="s">
        <v>13</v>
      </c>
      <c r="F31" t="s">
        <v>14</v>
      </c>
      <c r="G31" t="s">
        <v>32</v>
      </c>
      <c r="H31" t="s">
        <v>16</v>
      </c>
      <c r="I31" s="1">
        <v>147444.91</v>
      </c>
      <c r="J31" s="1">
        <v>147444.91</v>
      </c>
      <c r="K31" s="1">
        <v>147444.91</v>
      </c>
    </row>
    <row r="32" spans="1:11" x14ac:dyDescent="0.25">
      <c r="A32">
        <v>2026</v>
      </c>
      <c r="B32">
        <v>2</v>
      </c>
      <c r="C32" t="s">
        <v>64</v>
      </c>
      <c r="D32" t="s">
        <v>52</v>
      </c>
      <c r="E32" t="s">
        <v>13</v>
      </c>
      <c r="F32" t="s">
        <v>14</v>
      </c>
      <c r="G32" t="s">
        <v>34</v>
      </c>
      <c r="H32" t="s">
        <v>16</v>
      </c>
      <c r="I32">
        <v>523.88</v>
      </c>
      <c r="J32">
        <v>523.88</v>
      </c>
      <c r="K32">
        <v>523.88</v>
      </c>
    </row>
    <row r="33" spans="1:11" x14ac:dyDescent="0.25">
      <c r="A33">
        <v>2026</v>
      </c>
      <c r="B33">
        <v>2</v>
      </c>
      <c r="C33" t="s">
        <v>65</v>
      </c>
      <c r="D33" t="s">
        <v>52</v>
      </c>
      <c r="E33" t="s">
        <v>13</v>
      </c>
      <c r="F33" t="s">
        <v>14</v>
      </c>
      <c r="G33" t="s">
        <v>34</v>
      </c>
      <c r="H33" t="s">
        <v>16</v>
      </c>
      <c r="I33" s="1">
        <v>43506.49</v>
      </c>
      <c r="J33" s="1">
        <v>30265.65</v>
      </c>
      <c r="K33" s="1">
        <v>28114.61</v>
      </c>
    </row>
    <row r="34" spans="1:11" x14ac:dyDescent="0.25">
      <c r="A34">
        <v>2026</v>
      </c>
      <c r="B34">
        <v>2</v>
      </c>
      <c r="C34" t="s">
        <v>66</v>
      </c>
      <c r="D34" t="s">
        <v>52</v>
      </c>
      <c r="E34" t="s">
        <v>13</v>
      </c>
      <c r="F34" t="s">
        <v>14</v>
      </c>
      <c r="G34" t="s">
        <v>34</v>
      </c>
      <c r="H34" t="s">
        <v>16</v>
      </c>
      <c r="I34" s="1">
        <v>5034.5200000000004</v>
      </c>
      <c r="J34" s="1">
        <v>5034.5200000000004</v>
      </c>
      <c r="K34" s="1">
        <v>4769.54</v>
      </c>
    </row>
    <row r="35" spans="1:11" x14ac:dyDescent="0.25">
      <c r="A35">
        <v>2026</v>
      </c>
      <c r="B35">
        <v>2</v>
      </c>
      <c r="C35" t="s">
        <v>67</v>
      </c>
      <c r="D35" t="s">
        <v>52</v>
      </c>
      <c r="E35" t="s">
        <v>54</v>
      </c>
      <c r="F35" t="s">
        <v>55</v>
      </c>
      <c r="G35" t="s">
        <v>34</v>
      </c>
      <c r="H35" t="s">
        <v>59</v>
      </c>
      <c r="I35">
        <v>585</v>
      </c>
      <c r="J35" s="1">
        <v>117035.82</v>
      </c>
      <c r="K35">
        <v>225</v>
      </c>
    </row>
    <row r="36" spans="1:11" x14ac:dyDescent="0.25">
      <c r="A36">
        <v>2026</v>
      </c>
      <c r="B36">
        <v>2</v>
      </c>
      <c r="C36" t="s">
        <v>68</v>
      </c>
      <c r="D36" t="s">
        <v>52</v>
      </c>
      <c r="E36" t="s">
        <v>54</v>
      </c>
      <c r="F36" t="s">
        <v>55</v>
      </c>
      <c r="G36" t="s">
        <v>34</v>
      </c>
      <c r="H36" t="s">
        <v>27</v>
      </c>
      <c r="I36" s="1">
        <v>213817.98</v>
      </c>
      <c r="J36" s="1">
        <v>23871.81</v>
      </c>
      <c r="K36">
        <v>0</v>
      </c>
    </row>
    <row r="37" spans="1:11" x14ac:dyDescent="0.25">
      <c r="A37">
        <v>2026</v>
      </c>
      <c r="B37">
        <v>2</v>
      </c>
      <c r="C37" t="s">
        <v>69</v>
      </c>
      <c r="D37" t="s">
        <v>52</v>
      </c>
      <c r="E37" t="s">
        <v>54</v>
      </c>
      <c r="F37" t="s">
        <v>55</v>
      </c>
      <c r="G37" t="s">
        <v>70</v>
      </c>
      <c r="H37" t="s">
        <v>27</v>
      </c>
      <c r="I37">
        <v>0</v>
      </c>
      <c r="J37" s="1">
        <v>61574.15</v>
      </c>
      <c r="K37" s="1">
        <v>61574.15</v>
      </c>
    </row>
    <row r="38" spans="1:11" x14ac:dyDescent="0.25">
      <c r="A38">
        <v>2026</v>
      </c>
      <c r="B38">
        <v>2</v>
      </c>
      <c r="C38" t="s">
        <v>71</v>
      </c>
      <c r="D38" t="s">
        <v>52</v>
      </c>
      <c r="E38" t="s">
        <v>13</v>
      </c>
      <c r="F38" t="s">
        <v>14</v>
      </c>
      <c r="G38" t="s">
        <v>46</v>
      </c>
      <c r="H38" t="s">
        <v>16</v>
      </c>
      <c r="I38">
        <v>444.24</v>
      </c>
      <c r="J38">
        <v>444.24</v>
      </c>
      <c r="K38">
        <v>222.12</v>
      </c>
    </row>
    <row r="39" spans="1:11" x14ac:dyDescent="0.25">
      <c r="A39">
        <v>2026</v>
      </c>
      <c r="B39">
        <v>2</v>
      </c>
      <c r="C39" t="s">
        <v>72</v>
      </c>
      <c r="D39" t="s">
        <v>52</v>
      </c>
      <c r="E39" t="s">
        <v>54</v>
      </c>
      <c r="F39" t="s">
        <v>55</v>
      </c>
      <c r="G39" t="s">
        <v>49</v>
      </c>
      <c r="H39" t="s">
        <v>27</v>
      </c>
      <c r="I39" s="1">
        <v>3884.8</v>
      </c>
      <c r="J39">
        <v>0</v>
      </c>
      <c r="K39">
        <v>0</v>
      </c>
    </row>
    <row r="40" spans="1:11" x14ac:dyDescent="0.25">
      <c r="A40">
        <v>2026</v>
      </c>
      <c r="B40">
        <v>2</v>
      </c>
      <c r="C40" t="s">
        <v>73</v>
      </c>
      <c r="D40" t="s">
        <v>74</v>
      </c>
      <c r="E40" t="s">
        <v>13</v>
      </c>
      <c r="F40" t="s">
        <v>14</v>
      </c>
      <c r="G40" t="s">
        <v>15</v>
      </c>
      <c r="H40" t="s">
        <v>16</v>
      </c>
      <c r="I40" s="1">
        <v>1976398.79</v>
      </c>
      <c r="J40" s="1">
        <v>1976398.79</v>
      </c>
      <c r="K40" s="1">
        <v>1976398.79</v>
      </c>
    </row>
    <row r="41" spans="1:11" x14ac:dyDescent="0.25">
      <c r="A41">
        <v>2026</v>
      </c>
      <c r="B41">
        <v>2</v>
      </c>
      <c r="C41" t="s">
        <v>75</v>
      </c>
      <c r="D41" t="s">
        <v>74</v>
      </c>
      <c r="E41" t="s">
        <v>13</v>
      </c>
      <c r="F41" t="s">
        <v>14</v>
      </c>
      <c r="G41" t="s">
        <v>76</v>
      </c>
      <c r="H41" t="s">
        <v>16</v>
      </c>
      <c r="I41" s="1">
        <v>32531.62</v>
      </c>
      <c r="J41" s="1">
        <v>32531.62</v>
      </c>
      <c r="K41">
        <v>0</v>
      </c>
    </row>
    <row r="42" spans="1:11" x14ac:dyDescent="0.25">
      <c r="A42">
        <v>2026</v>
      </c>
      <c r="B42">
        <v>2</v>
      </c>
      <c r="C42" t="s">
        <v>77</v>
      </c>
      <c r="D42" t="s">
        <v>74</v>
      </c>
      <c r="E42" t="s">
        <v>13</v>
      </c>
      <c r="F42" t="s">
        <v>14</v>
      </c>
      <c r="G42" t="s">
        <v>24</v>
      </c>
      <c r="H42" t="s">
        <v>16</v>
      </c>
      <c r="I42" s="1">
        <v>103784.4</v>
      </c>
      <c r="J42" s="1">
        <v>212597.35</v>
      </c>
      <c r="K42" s="1">
        <v>219701.56</v>
      </c>
    </row>
    <row r="43" spans="1:11" x14ac:dyDescent="0.25">
      <c r="A43">
        <v>2026</v>
      </c>
      <c r="B43">
        <v>2</v>
      </c>
      <c r="C43" t="s">
        <v>78</v>
      </c>
      <c r="D43" t="s">
        <v>74</v>
      </c>
      <c r="E43" t="s">
        <v>13</v>
      </c>
      <c r="F43" t="s">
        <v>14</v>
      </c>
      <c r="G43" t="s">
        <v>24</v>
      </c>
      <c r="H43" t="s">
        <v>16</v>
      </c>
      <c r="I43">
        <v>0</v>
      </c>
      <c r="J43" s="1">
        <v>3508</v>
      </c>
      <c r="K43" s="1">
        <v>15908</v>
      </c>
    </row>
    <row r="44" spans="1:11" x14ac:dyDescent="0.25">
      <c r="A44">
        <v>2026</v>
      </c>
      <c r="B44">
        <v>2</v>
      </c>
      <c r="C44" t="s">
        <v>79</v>
      </c>
      <c r="D44" t="s">
        <v>74</v>
      </c>
      <c r="E44" t="s">
        <v>13</v>
      </c>
      <c r="F44" t="s">
        <v>14</v>
      </c>
      <c r="G44" t="s">
        <v>24</v>
      </c>
      <c r="H44" t="s">
        <v>16</v>
      </c>
      <c r="I44" s="1">
        <v>1724</v>
      </c>
      <c r="J44" s="1">
        <v>4104.05</v>
      </c>
      <c r="K44" s="1">
        <v>5190.6000000000004</v>
      </c>
    </row>
    <row r="45" spans="1:11" x14ac:dyDescent="0.25">
      <c r="A45">
        <v>2026</v>
      </c>
      <c r="B45">
        <v>2</v>
      </c>
      <c r="C45" t="s">
        <v>80</v>
      </c>
      <c r="D45" t="s">
        <v>74</v>
      </c>
      <c r="E45" t="s">
        <v>13</v>
      </c>
      <c r="F45" t="s">
        <v>14</v>
      </c>
      <c r="G45" t="s">
        <v>32</v>
      </c>
      <c r="H45" t="s">
        <v>16</v>
      </c>
      <c r="I45" s="1">
        <v>38294.18</v>
      </c>
      <c r="J45" s="1">
        <v>38294.18</v>
      </c>
      <c r="K45" s="1">
        <v>38294.18</v>
      </c>
    </row>
    <row r="46" spans="1:11" x14ac:dyDescent="0.25">
      <c r="A46">
        <v>2026</v>
      </c>
      <c r="B46">
        <v>2</v>
      </c>
      <c r="C46" t="s">
        <v>81</v>
      </c>
      <c r="D46" t="s">
        <v>74</v>
      </c>
      <c r="E46" t="s">
        <v>13</v>
      </c>
      <c r="F46" t="s">
        <v>14</v>
      </c>
      <c r="G46" t="s">
        <v>34</v>
      </c>
      <c r="H46" t="s">
        <v>16</v>
      </c>
      <c r="I46" s="1">
        <v>1599.99</v>
      </c>
      <c r="J46" s="1">
        <v>1599.99</v>
      </c>
      <c r="K46" s="1">
        <v>3099.99</v>
      </c>
    </row>
    <row r="47" spans="1:11" x14ac:dyDescent="0.25">
      <c r="A47">
        <v>2026</v>
      </c>
      <c r="B47">
        <v>2</v>
      </c>
      <c r="C47" t="s">
        <v>82</v>
      </c>
      <c r="D47" t="s">
        <v>74</v>
      </c>
      <c r="E47" t="s">
        <v>13</v>
      </c>
      <c r="F47" t="s">
        <v>14</v>
      </c>
      <c r="G47" t="s">
        <v>34</v>
      </c>
      <c r="H47" t="s">
        <v>16</v>
      </c>
      <c r="I47" s="1">
        <v>4387936.91</v>
      </c>
      <c r="J47" s="1">
        <v>912380.45</v>
      </c>
      <c r="K47" s="1">
        <v>1132024.8600000001</v>
      </c>
    </row>
    <row r="48" spans="1:11" x14ac:dyDescent="0.25">
      <c r="A48">
        <v>2026</v>
      </c>
      <c r="B48">
        <v>2</v>
      </c>
      <c r="C48" t="s">
        <v>83</v>
      </c>
      <c r="D48" t="s">
        <v>74</v>
      </c>
      <c r="E48" t="s">
        <v>13</v>
      </c>
      <c r="F48" t="s">
        <v>14</v>
      </c>
      <c r="G48" t="s">
        <v>34</v>
      </c>
      <c r="H48" t="s">
        <v>16</v>
      </c>
      <c r="I48" s="1">
        <v>7041862.2599999998</v>
      </c>
      <c r="J48" s="1">
        <v>840530.14</v>
      </c>
      <c r="K48" s="1">
        <v>514847.19</v>
      </c>
    </row>
    <row r="49" spans="1:11" x14ac:dyDescent="0.25">
      <c r="A49">
        <v>2026</v>
      </c>
      <c r="B49">
        <v>2</v>
      </c>
      <c r="C49" t="s">
        <v>84</v>
      </c>
      <c r="D49" t="s">
        <v>74</v>
      </c>
      <c r="E49" t="s">
        <v>13</v>
      </c>
      <c r="F49" t="s">
        <v>14</v>
      </c>
      <c r="G49" t="s">
        <v>70</v>
      </c>
      <c r="H49" t="s">
        <v>16</v>
      </c>
      <c r="I49">
        <v>0</v>
      </c>
      <c r="J49">
        <v>0</v>
      </c>
      <c r="K49" s="1">
        <v>58398.2</v>
      </c>
    </row>
    <row r="50" spans="1:11" x14ac:dyDescent="0.25">
      <c r="A50">
        <v>2026</v>
      </c>
      <c r="B50">
        <v>2</v>
      </c>
      <c r="C50" t="s">
        <v>85</v>
      </c>
      <c r="D50" t="s">
        <v>74</v>
      </c>
      <c r="E50" t="s">
        <v>13</v>
      </c>
      <c r="F50" t="s">
        <v>14</v>
      </c>
      <c r="G50" t="s">
        <v>70</v>
      </c>
      <c r="H50" t="s">
        <v>16</v>
      </c>
      <c r="I50" s="1">
        <v>24700953.629999999</v>
      </c>
      <c r="J50" s="1">
        <v>2231317.89</v>
      </c>
      <c r="K50" s="1">
        <v>2717302.01</v>
      </c>
    </row>
    <row r="51" spans="1:11" x14ac:dyDescent="0.25">
      <c r="A51">
        <v>2026</v>
      </c>
      <c r="B51">
        <v>2</v>
      </c>
      <c r="C51" t="s">
        <v>86</v>
      </c>
      <c r="D51" t="s">
        <v>74</v>
      </c>
      <c r="E51" t="s">
        <v>13</v>
      </c>
      <c r="F51" t="s">
        <v>14</v>
      </c>
      <c r="G51" t="s">
        <v>70</v>
      </c>
      <c r="H51" t="s">
        <v>16</v>
      </c>
      <c r="I51" s="1">
        <v>18836.07</v>
      </c>
      <c r="J51" s="1">
        <v>1279.3399999999999</v>
      </c>
      <c r="K51">
        <v>0</v>
      </c>
    </row>
    <row r="52" spans="1:11" x14ac:dyDescent="0.25">
      <c r="A52">
        <v>2026</v>
      </c>
      <c r="B52">
        <v>2</v>
      </c>
      <c r="C52" t="s">
        <v>87</v>
      </c>
      <c r="D52" t="s">
        <v>74</v>
      </c>
      <c r="E52" t="s">
        <v>13</v>
      </c>
      <c r="F52" t="s">
        <v>14</v>
      </c>
      <c r="G52" t="s">
        <v>46</v>
      </c>
      <c r="H52" t="s">
        <v>16</v>
      </c>
      <c r="I52">
        <v>0</v>
      </c>
      <c r="J52">
        <v>0</v>
      </c>
      <c r="K52" s="1">
        <v>979613.38</v>
      </c>
    </row>
    <row r="53" spans="1:11" x14ac:dyDescent="0.25">
      <c r="A53">
        <v>2026</v>
      </c>
      <c r="B53">
        <v>2</v>
      </c>
      <c r="C53" t="s">
        <v>88</v>
      </c>
      <c r="D53" t="s">
        <v>74</v>
      </c>
      <c r="E53" t="s">
        <v>13</v>
      </c>
      <c r="F53" t="s">
        <v>14</v>
      </c>
      <c r="G53" t="s">
        <v>46</v>
      </c>
      <c r="H53" t="s">
        <v>16</v>
      </c>
      <c r="I53">
        <v>0</v>
      </c>
      <c r="J53">
        <v>0</v>
      </c>
      <c r="K53" s="1">
        <v>966664.51</v>
      </c>
    </row>
    <row r="54" spans="1:11" x14ac:dyDescent="0.25">
      <c r="A54">
        <v>2026</v>
      </c>
      <c r="B54">
        <v>2</v>
      </c>
      <c r="C54" t="s">
        <v>89</v>
      </c>
      <c r="D54" t="s">
        <v>74</v>
      </c>
      <c r="E54" t="s">
        <v>13</v>
      </c>
      <c r="F54" t="s">
        <v>14</v>
      </c>
      <c r="G54" t="s">
        <v>46</v>
      </c>
      <c r="H54" t="s">
        <v>16</v>
      </c>
      <c r="I54">
        <v>0</v>
      </c>
      <c r="J54">
        <v>0</v>
      </c>
      <c r="K54" s="1">
        <v>38440.1</v>
      </c>
    </row>
    <row r="55" spans="1:11" x14ac:dyDescent="0.25">
      <c r="A55">
        <v>2026</v>
      </c>
      <c r="B55">
        <v>2</v>
      </c>
      <c r="C55" t="s">
        <v>90</v>
      </c>
      <c r="D55" t="s">
        <v>74</v>
      </c>
      <c r="E55" t="s">
        <v>13</v>
      </c>
      <c r="F55" t="s">
        <v>14</v>
      </c>
      <c r="G55" t="s">
        <v>49</v>
      </c>
      <c r="H55" t="s">
        <v>16</v>
      </c>
      <c r="I55">
        <v>723.55</v>
      </c>
      <c r="J55">
        <v>0</v>
      </c>
      <c r="K55">
        <v>0</v>
      </c>
    </row>
    <row r="56" spans="1:11" x14ac:dyDescent="0.25">
      <c r="A56">
        <v>2026</v>
      </c>
      <c r="B56">
        <v>2</v>
      </c>
      <c r="C56" t="s">
        <v>91</v>
      </c>
      <c r="D56" t="s">
        <v>92</v>
      </c>
      <c r="E56" t="s">
        <v>93</v>
      </c>
      <c r="F56" t="s">
        <v>94</v>
      </c>
      <c r="G56" t="s">
        <v>15</v>
      </c>
      <c r="H56" t="s">
        <v>16</v>
      </c>
      <c r="I56" s="1">
        <v>542898.54</v>
      </c>
      <c r="J56" s="1">
        <v>542898.54</v>
      </c>
      <c r="K56" s="1">
        <v>542898.54</v>
      </c>
    </row>
    <row r="57" spans="1:11" x14ac:dyDescent="0.25">
      <c r="A57">
        <v>2026</v>
      </c>
      <c r="B57">
        <v>2</v>
      </c>
      <c r="C57" t="s">
        <v>95</v>
      </c>
      <c r="D57" t="s">
        <v>92</v>
      </c>
      <c r="E57" t="s">
        <v>96</v>
      </c>
      <c r="F57" t="s">
        <v>97</v>
      </c>
      <c r="G57" t="s">
        <v>98</v>
      </c>
      <c r="H57" t="s">
        <v>59</v>
      </c>
      <c r="I57" s="1">
        <v>194972.51</v>
      </c>
      <c r="J57" s="1">
        <v>31531.919999999998</v>
      </c>
      <c r="K57" s="1">
        <v>31531.919999999998</v>
      </c>
    </row>
    <row r="58" spans="1:11" x14ac:dyDescent="0.25">
      <c r="A58">
        <v>2026</v>
      </c>
      <c r="B58">
        <v>2</v>
      </c>
      <c r="C58" t="s">
        <v>99</v>
      </c>
      <c r="D58" t="s">
        <v>92</v>
      </c>
      <c r="E58" t="s">
        <v>96</v>
      </c>
      <c r="F58" t="s">
        <v>97</v>
      </c>
      <c r="G58" t="s">
        <v>98</v>
      </c>
      <c r="H58" t="s">
        <v>100</v>
      </c>
      <c r="I58" s="1">
        <v>125460</v>
      </c>
      <c r="J58">
        <v>0</v>
      </c>
      <c r="K58">
        <v>0</v>
      </c>
    </row>
    <row r="59" spans="1:11" x14ac:dyDescent="0.25">
      <c r="A59">
        <v>2026</v>
      </c>
      <c r="B59">
        <v>2</v>
      </c>
      <c r="C59" t="s">
        <v>101</v>
      </c>
      <c r="D59" t="s">
        <v>92</v>
      </c>
      <c r="E59" t="s">
        <v>96</v>
      </c>
      <c r="F59" t="s">
        <v>97</v>
      </c>
      <c r="G59" t="s">
        <v>76</v>
      </c>
      <c r="H59" t="s">
        <v>16</v>
      </c>
      <c r="I59">
        <v>0</v>
      </c>
      <c r="J59" s="1">
        <v>341843.25</v>
      </c>
      <c r="K59" s="1">
        <v>341843.25</v>
      </c>
    </row>
    <row r="60" spans="1:11" x14ac:dyDescent="0.25">
      <c r="A60">
        <v>2026</v>
      </c>
      <c r="B60">
        <v>2</v>
      </c>
      <c r="C60" t="s">
        <v>102</v>
      </c>
      <c r="D60" t="s">
        <v>92</v>
      </c>
      <c r="E60" t="s">
        <v>93</v>
      </c>
      <c r="F60" t="s">
        <v>94</v>
      </c>
      <c r="G60" t="s">
        <v>24</v>
      </c>
      <c r="H60" t="s">
        <v>16</v>
      </c>
      <c r="I60" s="1">
        <v>2505</v>
      </c>
      <c r="J60">
        <v>484.3</v>
      </c>
      <c r="K60">
        <v>959.45</v>
      </c>
    </row>
    <row r="61" spans="1:11" x14ac:dyDescent="0.25">
      <c r="A61">
        <v>2026</v>
      </c>
      <c r="B61">
        <v>2</v>
      </c>
      <c r="C61" t="s">
        <v>103</v>
      </c>
      <c r="D61" t="s">
        <v>92</v>
      </c>
      <c r="E61" t="s">
        <v>96</v>
      </c>
      <c r="F61" t="s">
        <v>97</v>
      </c>
      <c r="G61" t="s">
        <v>24</v>
      </c>
      <c r="H61" t="s">
        <v>59</v>
      </c>
      <c r="I61" s="1">
        <v>2888</v>
      </c>
      <c r="J61" s="1">
        <v>2888</v>
      </c>
      <c r="K61">
        <v>0</v>
      </c>
    </row>
    <row r="62" spans="1:11" x14ac:dyDescent="0.25">
      <c r="A62">
        <v>2026</v>
      </c>
      <c r="B62">
        <v>2</v>
      </c>
      <c r="C62" t="s">
        <v>104</v>
      </c>
      <c r="D62" t="s">
        <v>92</v>
      </c>
      <c r="E62" t="s">
        <v>93</v>
      </c>
      <c r="F62" t="s">
        <v>94</v>
      </c>
      <c r="G62" t="s">
        <v>32</v>
      </c>
      <c r="H62" t="s">
        <v>16</v>
      </c>
      <c r="I62" s="1">
        <v>28994.86</v>
      </c>
      <c r="J62" s="1">
        <v>28994.86</v>
      </c>
      <c r="K62" s="1">
        <v>28994.86</v>
      </c>
    </row>
    <row r="63" spans="1:11" x14ac:dyDescent="0.25">
      <c r="A63">
        <v>2026</v>
      </c>
      <c r="B63">
        <v>2</v>
      </c>
      <c r="C63" t="s">
        <v>105</v>
      </c>
      <c r="D63" t="s">
        <v>92</v>
      </c>
      <c r="E63" t="s">
        <v>93</v>
      </c>
      <c r="F63" t="s">
        <v>94</v>
      </c>
      <c r="G63" t="s">
        <v>34</v>
      </c>
      <c r="H63" t="s">
        <v>16</v>
      </c>
      <c r="I63">
        <v>900</v>
      </c>
      <c r="J63">
        <v>900</v>
      </c>
      <c r="K63" s="1">
        <v>1200</v>
      </c>
    </row>
    <row r="64" spans="1:11" x14ac:dyDescent="0.25">
      <c r="A64">
        <v>2026</v>
      </c>
      <c r="B64">
        <v>2</v>
      </c>
      <c r="C64" t="s">
        <v>106</v>
      </c>
      <c r="D64" t="s">
        <v>92</v>
      </c>
      <c r="E64" t="s">
        <v>93</v>
      </c>
      <c r="F64" t="s">
        <v>94</v>
      </c>
      <c r="G64" t="s">
        <v>34</v>
      </c>
      <c r="H64" t="s">
        <v>16</v>
      </c>
      <c r="I64" s="1">
        <v>7649.65</v>
      </c>
      <c r="J64" s="1">
        <v>198251.48</v>
      </c>
      <c r="K64" s="1">
        <v>597642.78</v>
      </c>
    </row>
    <row r="65" spans="1:11" x14ac:dyDescent="0.25">
      <c r="A65">
        <v>2026</v>
      </c>
      <c r="B65">
        <v>2</v>
      </c>
      <c r="C65" t="s">
        <v>107</v>
      </c>
      <c r="D65" t="s">
        <v>92</v>
      </c>
      <c r="E65" t="s">
        <v>93</v>
      </c>
      <c r="F65" t="s">
        <v>94</v>
      </c>
      <c r="G65" t="s">
        <v>34</v>
      </c>
      <c r="H65" t="s">
        <v>59</v>
      </c>
      <c r="I65">
        <v>0</v>
      </c>
      <c r="J65">
        <v>0</v>
      </c>
      <c r="K65" s="1">
        <v>89973</v>
      </c>
    </row>
    <row r="66" spans="1:11" x14ac:dyDescent="0.25">
      <c r="A66">
        <v>2026</v>
      </c>
      <c r="B66">
        <v>2</v>
      </c>
      <c r="C66" t="s">
        <v>108</v>
      </c>
      <c r="D66" t="s">
        <v>92</v>
      </c>
      <c r="E66" t="s">
        <v>96</v>
      </c>
      <c r="F66" t="s">
        <v>97</v>
      </c>
      <c r="G66" t="s">
        <v>34</v>
      </c>
      <c r="H66" t="s">
        <v>56</v>
      </c>
      <c r="I66" s="1">
        <v>198148.72</v>
      </c>
      <c r="J66">
        <v>0</v>
      </c>
      <c r="K66">
        <v>0</v>
      </c>
    </row>
    <row r="67" spans="1:11" x14ac:dyDescent="0.25">
      <c r="A67">
        <v>2026</v>
      </c>
      <c r="B67">
        <v>2</v>
      </c>
      <c r="C67" t="s">
        <v>109</v>
      </c>
      <c r="D67" t="s">
        <v>92</v>
      </c>
      <c r="E67" t="s">
        <v>96</v>
      </c>
      <c r="F67" t="s">
        <v>97</v>
      </c>
      <c r="G67" t="s">
        <v>34</v>
      </c>
      <c r="H67" t="s">
        <v>56</v>
      </c>
      <c r="I67" s="1">
        <v>60224.34</v>
      </c>
      <c r="J67">
        <v>0</v>
      </c>
      <c r="K67">
        <v>0</v>
      </c>
    </row>
    <row r="68" spans="1:11" x14ac:dyDescent="0.25">
      <c r="A68">
        <v>2026</v>
      </c>
      <c r="B68">
        <v>2</v>
      </c>
      <c r="C68" t="s">
        <v>110</v>
      </c>
      <c r="D68" t="s">
        <v>92</v>
      </c>
      <c r="E68" t="s">
        <v>96</v>
      </c>
      <c r="F68" t="s">
        <v>97</v>
      </c>
      <c r="G68" t="s">
        <v>34</v>
      </c>
      <c r="H68" t="s">
        <v>59</v>
      </c>
      <c r="I68" s="1">
        <v>171040.38</v>
      </c>
      <c r="J68" s="1">
        <v>81487.73</v>
      </c>
      <c r="K68" s="1">
        <v>9870.73</v>
      </c>
    </row>
    <row r="69" spans="1:11" x14ac:dyDescent="0.25">
      <c r="A69">
        <v>2026</v>
      </c>
      <c r="B69">
        <v>2</v>
      </c>
      <c r="C69" t="s">
        <v>111</v>
      </c>
      <c r="D69" t="s">
        <v>92</v>
      </c>
      <c r="E69" t="s">
        <v>96</v>
      </c>
      <c r="F69" t="s">
        <v>97</v>
      </c>
      <c r="G69" t="s">
        <v>34</v>
      </c>
      <c r="H69" t="s">
        <v>27</v>
      </c>
      <c r="I69" s="1">
        <v>121455.35</v>
      </c>
      <c r="J69">
        <v>0</v>
      </c>
      <c r="K69">
        <v>0</v>
      </c>
    </row>
    <row r="70" spans="1:11" x14ac:dyDescent="0.25">
      <c r="A70">
        <v>2026</v>
      </c>
      <c r="B70">
        <v>2</v>
      </c>
      <c r="C70" t="s">
        <v>112</v>
      </c>
      <c r="D70" t="s">
        <v>92</v>
      </c>
      <c r="E70" t="s">
        <v>96</v>
      </c>
      <c r="F70" t="s">
        <v>97</v>
      </c>
      <c r="G70" t="s">
        <v>34</v>
      </c>
      <c r="H70" t="s">
        <v>27</v>
      </c>
      <c r="I70" s="1">
        <v>180408.78</v>
      </c>
      <c r="J70">
        <v>0</v>
      </c>
      <c r="K70">
        <v>0</v>
      </c>
    </row>
    <row r="71" spans="1:11" x14ac:dyDescent="0.25">
      <c r="A71">
        <v>2026</v>
      </c>
      <c r="B71">
        <v>2</v>
      </c>
      <c r="C71" t="s">
        <v>113</v>
      </c>
      <c r="D71" t="s">
        <v>92</v>
      </c>
      <c r="E71" t="s">
        <v>96</v>
      </c>
      <c r="F71" t="s">
        <v>97</v>
      </c>
      <c r="G71" t="s">
        <v>49</v>
      </c>
      <c r="H71" t="s">
        <v>59</v>
      </c>
      <c r="I71">
        <v>87.9</v>
      </c>
      <c r="J71">
        <v>87.9</v>
      </c>
      <c r="K71">
        <v>0</v>
      </c>
    </row>
    <row r="72" spans="1:11" x14ac:dyDescent="0.25">
      <c r="A72">
        <v>2026</v>
      </c>
      <c r="B72">
        <v>2</v>
      </c>
      <c r="C72" t="s">
        <v>114</v>
      </c>
      <c r="D72" t="s">
        <v>115</v>
      </c>
      <c r="E72" t="s">
        <v>93</v>
      </c>
      <c r="F72" t="s">
        <v>116</v>
      </c>
      <c r="G72" t="s">
        <v>15</v>
      </c>
      <c r="H72" t="s">
        <v>16</v>
      </c>
      <c r="I72" s="1">
        <v>229948.82</v>
      </c>
      <c r="J72" s="1">
        <v>229948.82</v>
      </c>
      <c r="K72" s="1">
        <v>229948.82</v>
      </c>
    </row>
    <row r="73" spans="1:11" x14ac:dyDescent="0.25">
      <c r="A73">
        <v>2026</v>
      </c>
      <c r="B73">
        <v>2</v>
      </c>
      <c r="C73" t="s">
        <v>117</v>
      </c>
      <c r="D73" t="s">
        <v>115</v>
      </c>
      <c r="E73" t="s">
        <v>93</v>
      </c>
      <c r="F73" t="s">
        <v>116</v>
      </c>
      <c r="G73" t="s">
        <v>24</v>
      </c>
      <c r="H73" t="s">
        <v>16</v>
      </c>
      <c r="I73" s="1">
        <v>66219.5</v>
      </c>
      <c r="J73">
        <v>409.15</v>
      </c>
      <c r="K73">
        <v>0</v>
      </c>
    </row>
    <row r="74" spans="1:11" x14ac:dyDescent="0.25">
      <c r="A74">
        <v>2026</v>
      </c>
      <c r="B74">
        <v>2</v>
      </c>
      <c r="C74" t="s">
        <v>118</v>
      </c>
      <c r="D74" t="s">
        <v>115</v>
      </c>
      <c r="E74" t="s">
        <v>93</v>
      </c>
      <c r="F74" t="s">
        <v>116</v>
      </c>
      <c r="G74" t="s">
        <v>32</v>
      </c>
      <c r="H74" t="s">
        <v>16</v>
      </c>
      <c r="I74" s="1">
        <v>3275.49</v>
      </c>
      <c r="J74" s="1">
        <v>3275.49</v>
      </c>
      <c r="K74" s="1">
        <v>3275.49</v>
      </c>
    </row>
    <row r="75" spans="1:11" x14ac:dyDescent="0.25">
      <c r="A75">
        <v>2026</v>
      </c>
      <c r="B75">
        <v>2</v>
      </c>
      <c r="C75" t="s">
        <v>119</v>
      </c>
      <c r="D75" t="s">
        <v>115</v>
      </c>
      <c r="E75" t="s">
        <v>93</v>
      </c>
      <c r="F75" t="s">
        <v>116</v>
      </c>
      <c r="G75" t="s">
        <v>34</v>
      </c>
      <c r="H75" t="s">
        <v>16</v>
      </c>
      <c r="I75" s="1">
        <v>2000</v>
      </c>
      <c r="J75" s="1">
        <v>2000</v>
      </c>
      <c r="K75">
        <v>0</v>
      </c>
    </row>
    <row r="76" spans="1:11" x14ac:dyDescent="0.25">
      <c r="A76">
        <v>2026</v>
      </c>
      <c r="B76">
        <v>2</v>
      </c>
      <c r="C76" t="s">
        <v>120</v>
      </c>
      <c r="D76" t="s">
        <v>115</v>
      </c>
      <c r="E76" t="s">
        <v>93</v>
      </c>
      <c r="F76" t="s">
        <v>116</v>
      </c>
      <c r="G76" t="s">
        <v>34</v>
      </c>
      <c r="H76" t="s">
        <v>16</v>
      </c>
      <c r="I76" s="1">
        <v>66391.350000000006</v>
      </c>
      <c r="J76" s="1">
        <v>1899589.59</v>
      </c>
      <c r="K76" s="1">
        <v>1467483.52</v>
      </c>
    </row>
    <row r="77" spans="1:11" x14ac:dyDescent="0.25">
      <c r="A77">
        <v>2026</v>
      </c>
      <c r="B77">
        <v>2</v>
      </c>
      <c r="C77" t="s">
        <v>121</v>
      </c>
      <c r="D77" t="s">
        <v>115</v>
      </c>
      <c r="E77" t="s">
        <v>93</v>
      </c>
      <c r="F77" t="s">
        <v>116</v>
      </c>
      <c r="G77" t="s">
        <v>34</v>
      </c>
      <c r="H77" t="s">
        <v>59</v>
      </c>
      <c r="I77" s="1">
        <v>55000</v>
      </c>
      <c r="J77">
        <v>0</v>
      </c>
      <c r="K77">
        <v>0</v>
      </c>
    </row>
    <row r="78" spans="1:11" x14ac:dyDescent="0.25">
      <c r="A78">
        <v>2026</v>
      </c>
      <c r="B78">
        <v>2</v>
      </c>
      <c r="C78" t="s">
        <v>122</v>
      </c>
      <c r="D78" t="s">
        <v>115</v>
      </c>
      <c r="E78" t="s">
        <v>93</v>
      </c>
      <c r="F78" t="s">
        <v>116</v>
      </c>
      <c r="G78" t="s">
        <v>123</v>
      </c>
      <c r="H78" t="s">
        <v>16</v>
      </c>
      <c r="I78" s="1">
        <v>273812.15999999997</v>
      </c>
      <c r="J78" s="1">
        <v>120593.73</v>
      </c>
      <c r="K78">
        <v>0</v>
      </c>
    </row>
    <row r="79" spans="1:11" x14ac:dyDescent="0.25">
      <c r="A79">
        <v>2026</v>
      </c>
      <c r="B79">
        <v>2</v>
      </c>
      <c r="C79" t="s">
        <v>124</v>
      </c>
      <c r="D79" t="s">
        <v>115</v>
      </c>
      <c r="E79" t="s">
        <v>93</v>
      </c>
      <c r="F79" t="s">
        <v>116</v>
      </c>
      <c r="G79" t="s">
        <v>123</v>
      </c>
      <c r="H79" t="s">
        <v>16</v>
      </c>
      <c r="I79" s="1">
        <v>275812.42</v>
      </c>
      <c r="J79" s="1">
        <v>281391.26</v>
      </c>
      <c r="K79" s="1">
        <v>271578.84000000003</v>
      </c>
    </row>
    <row r="80" spans="1:11" x14ac:dyDescent="0.25">
      <c r="A80">
        <v>2026</v>
      </c>
      <c r="B80">
        <v>2</v>
      </c>
      <c r="C80" t="s">
        <v>125</v>
      </c>
      <c r="D80" t="s">
        <v>115</v>
      </c>
      <c r="E80" t="s">
        <v>93</v>
      </c>
      <c r="F80" t="s">
        <v>116</v>
      </c>
      <c r="G80" t="s">
        <v>123</v>
      </c>
      <c r="H80" t="s">
        <v>59</v>
      </c>
      <c r="I80" s="1">
        <v>796190.81</v>
      </c>
      <c r="J80" s="1">
        <v>332786.59000000003</v>
      </c>
      <c r="K80" s="1">
        <v>332786.59000000003</v>
      </c>
    </row>
    <row r="81" spans="1:11" x14ac:dyDescent="0.25">
      <c r="A81">
        <v>2026</v>
      </c>
      <c r="B81">
        <v>2</v>
      </c>
      <c r="C81" t="s">
        <v>126</v>
      </c>
      <c r="D81" t="s">
        <v>115</v>
      </c>
      <c r="E81" t="s">
        <v>93</v>
      </c>
      <c r="F81" t="s">
        <v>116</v>
      </c>
      <c r="G81" t="s">
        <v>123</v>
      </c>
      <c r="H81" t="s">
        <v>59</v>
      </c>
      <c r="I81">
        <v>0</v>
      </c>
      <c r="J81">
        <v>0</v>
      </c>
      <c r="K81" s="1">
        <v>56267.86</v>
      </c>
    </row>
    <row r="82" spans="1:11" x14ac:dyDescent="0.25">
      <c r="A82">
        <v>2026</v>
      </c>
      <c r="B82">
        <v>2</v>
      </c>
      <c r="C82" t="s">
        <v>127</v>
      </c>
      <c r="D82" t="s">
        <v>115</v>
      </c>
      <c r="E82" t="s">
        <v>93</v>
      </c>
      <c r="F82" t="s">
        <v>116</v>
      </c>
      <c r="G82" t="s">
        <v>123</v>
      </c>
      <c r="H82" t="s">
        <v>100</v>
      </c>
      <c r="I82" s="1">
        <v>166139.1</v>
      </c>
      <c r="J82">
        <v>0</v>
      </c>
      <c r="K82">
        <v>0</v>
      </c>
    </row>
    <row r="83" spans="1:11" x14ac:dyDescent="0.25">
      <c r="A83">
        <v>2026</v>
      </c>
      <c r="B83">
        <v>2</v>
      </c>
      <c r="C83" t="s">
        <v>128</v>
      </c>
      <c r="D83" t="s">
        <v>115</v>
      </c>
      <c r="E83" t="s">
        <v>93</v>
      </c>
      <c r="F83" t="s">
        <v>116</v>
      </c>
      <c r="G83" t="s">
        <v>49</v>
      </c>
      <c r="H83" t="s">
        <v>16</v>
      </c>
      <c r="I83" s="1">
        <v>1428</v>
      </c>
      <c r="J83">
        <v>0</v>
      </c>
      <c r="K83">
        <v>0</v>
      </c>
    </row>
    <row r="84" spans="1:11" x14ac:dyDescent="0.25">
      <c r="A84">
        <v>2026</v>
      </c>
      <c r="B84">
        <v>2</v>
      </c>
      <c r="C84" t="s">
        <v>129</v>
      </c>
      <c r="D84" t="s">
        <v>115</v>
      </c>
      <c r="E84" t="s">
        <v>93</v>
      </c>
      <c r="F84" t="s">
        <v>116</v>
      </c>
      <c r="G84" t="s">
        <v>49</v>
      </c>
      <c r="H84" t="s">
        <v>100</v>
      </c>
      <c r="I84">
        <v>0</v>
      </c>
      <c r="J84" s="1">
        <v>34255</v>
      </c>
      <c r="K84">
        <v>0</v>
      </c>
    </row>
    <row r="85" spans="1:11" x14ac:dyDescent="0.25">
      <c r="A85">
        <v>2026</v>
      </c>
      <c r="B85">
        <v>2</v>
      </c>
      <c r="C85" t="s">
        <v>130</v>
      </c>
      <c r="D85" t="s">
        <v>131</v>
      </c>
      <c r="E85" t="s">
        <v>132</v>
      </c>
      <c r="F85" t="s">
        <v>14</v>
      </c>
      <c r="G85" t="s">
        <v>15</v>
      </c>
      <c r="H85" t="s">
        <v>16</v>
      </c>
      <c r="I85" s="1">
        <v>24579.73</v>
      </c>
      <c r="J85" s="1">
        <v>24579.73</v>
      </c>
      <c r="K85" s="1">
        <v>24579.73</v>
      </c>
    </row>
    <row r="86" spans="1:11" x14ac:dyDescent="0.25">
      <c r="A86">
        <v>2026</v>
      </c>
      <c r="B86">
        <v>2</v>
      </c>
      <c r="C86" t="s">
        <v>133</v>
      </c>
      <c r="D86" t="s">
        <v>131</v>
      </c>
      <c r="E86" t="s">
        <v>132</v>
      </c>
      <c r="F86" t="s">
        <v>134</v>
      </c>
      <c r="G86" t="s">
        <v>15</v>
      </c>
      <c r="H86" t="s">
        <v>16</v>
      </c>
      <c r="I86" s="1">
        <v>276053.53999999998</v>
      </c>
      <c r="J86" s="1">
        <v>276053.53999999998</v>
      </c>
      <c r="K86" s="1">
        <v>267641.48</v>
      </c>
    </row>
    <row r="87" spans="1:11" x14ac:dyDescent="0.25">
      <c r="A87">
        <v>2026</v>
      </c>
      <c r="B87">
        <v>2</v>
      </c>
      <c r="C87" t="s">
        <v>135</v>
      </c>
      <c r="D87" t="s">
        <v>131</v>
      </c>
      <c r="E87" t="s">
        <v>132</v>
      </c>
      <c r="F87" t="s">
        <v>134</v>
      </c>
      <c r="G87" t="s">
        <v>136</v>
      </c>
      <c r="H87" t="s">
        <v>16</v>
      </c>
      <c r="I87" s="1">
        <v>60689.84</v>
      </c>
      <c r="J87" s="1">
        <v>60689.84</v>
      </c>
      <c r="K87" s="1">
        <v>60689.84</v>
      </c>
    </row>
    <row r="88" spans="1:11" x14ac:dyDescent="0.25">
      <c r="A88">
        <v>2026</v>
      </c>
      <c r="B88">
        <v>2</v>
      </c>
      <c r="C88" t="s">
        <v>137</v>
      </c>
      <c r="D88" t="s">
        <v>131</v>
      </c>
      <c r="E88" t="s">
        <v>132</v>
      </c>
      <c r="F88" t="s">
        <v>134</v>
      </c>
      <c r="G88" t="s">
        <v>98</v>
      </c>
      <c r="H88" t="s">
        <v>16</v>
      </c>
      <c r="I88" s="1">
        <v>2078811.1</v>
      </c>
      <c r="J88" s="1">
        <v>615091.04</v>
      </c>
      <c r="K88" s="1">
        <v>888776.36</v>
      </c>
    </row>
    <row r="89" spans="1:11" x14ac:dyDescent="0.25">
      <c r="A89">
        <v>2026</v>
      </c>
      <c r="B89">
        <v>2</v>
      </c>
      <c r="C89" t="s">
        <v>138</v>
      </c>
      <c r="D89" t="s">
        <v>131</v>
      </c>
      <c r="E89" t="s">
        <v>132</v>
      </c>
      <c r="F89" t="s">
        <v>139</v>
      </c>
      <c r="G89" t="s">
        <v>98</v>
      </c>
      <c r="H89" t="s">
        <v>16</v>
      </c>
      <c r="I89" s="1">
        <v>13271616.25</v>
      </c>
      <c r="J89" s="1">
        <v>9308118.9399999995</v>
      </c>
      <c r="K89" s="1">
        <v>8139528.7400000002</v>
      </c>
    </row>
    <row r="90" spans="1:11" x14ac:dyDescent="0.25">
      <c r="A90">
        <v>2026</v>
      </c>
      <c r="B90">
        <v>2</v>
      </c>
      <c r="C90" t="s">
        <v>140</v>
      </c>
      <c r="D90" t="s">
        <v>131</v>
      </c>
      <c r="E90" t="s">
        <v>132</v>
      </c>
      <c r="F90" t="s">
        <v>139</v>
      </c>
      <c r="G90" t="s">
        <v>98</v>
      </c>
      <c r="H90" t="s">
        <v>16</v>
      </c>
      <c r="I90" s="1">
        <v>19446000</v>
      </c>
      <c r="J90">
        <v>0</v>
      </c>
      <c r="K90">
        <v>0</v>
      </c>
    </row>
    <row r="91" spans="1:11" x14ac:dyDescent="0.25">
      <c r="A91">
        <v>2026</v>
      </c>
      <c r="B91">
        <v>2</v>
      </c>
      <c r="C91" t="s">
        <v>141</v>
      </c>
      <c r="D91" t="s">
        <v>131</v>
      </c>
      <c r="E91" t="s">
        <v>132</v>
      </c>
      <c r="F91" t="s">
        <v>142</v>
      </c>
      <c r="G91" t="s">
        <v>98</v>
      </c>
      <c r="H91" t="s">
        <v>16</v>
      </c>
      <c r="I91" s="1">
        <v>2660725.08</v>
      </c>
      <c r="J91" s="1">
        <v>2214349.4</v>
      </c>
      <c r="K91" s="1">
        <v>2350676.46</v>
      </c>
    </row>
    <row r="92" spans="1:11" x14ac:dyDescent="0.25">
      <c r="A92">
        <v>2026</v>
      </c>
      <c r="B92">
        <v>2</v>
      </c>
      <c r="C92" t="s">
        <v>143</v>
      </c>
      <c r="D92" t="s">
        <v>131</v>
      </c>
      <c r="E92" t="s">
        <v>132</v>
      </c>
      <c r="F92" t="s">
        <v>134</v>
      </c>
      <c r="G92" t="s">
        <v>144</v>
      </c>
      <c r="H92" t="s">
        <v>16</v>
      </c>
      <c r="I92" s="1">
        <v>56844.01</v>
      </c>
      <c r="J92" s="1">
        <v>56844.01</v>
      </c>
      <c r="K92" s="1">
        <v>56844.01</v>
      </c>
    </row>
    <row r="93" spans="1:11" x14ac:dyDescent="0.25">
      <c r="A93">
        <v>2026</v>
      </c>
      <c r="B93">
        <v>2</v>
      </c>
      <c r="C93" t="s">
        <v>145</v>
      </c>
      <c r="D93" t="s">
        <v>131</v>
      </c>
      <c r="E93" t="s">
        <v>132</v>
      </c>
      <c r="F93" t="s">
        <v>134</v>
      </c>
      <c r="G93" t="s">
        <v>144</v>
      </c>
      <c r="H93" t="s">
        <v>16</v>
      </c>
      <c r="I93" s="1">
        <v>6311.57</v>
      </c>
      <c r="J93" s="1">
        <v>6311.57</v>
      </c>
      <c r="K93" s="1">
        <v>6311.57</v>
      </c>
    </row>
    <row r="94" spans="1:11" x14ac:dyDescent="0.25">
      <c r="A94">
        <v>2026</v>
      </c>
      <c r="B94">
        <v>2</v>
      </c>
      <c r="C94" t="s">
        <v>146</v>
      </c>
      <c r="D94" t="s">
        <v>131</v>
      </c>
      <c r="E94" t="s">
        <v>132</v>
      </c>
      <c r="F94" t="s">
        <v>139</v>
      </c>
      <c r="G94" t="s">
        <v>144</v>
      </c>
      <c r="H94" t="s">
        <v>16</v>
      </c>
      <c r="I94" s="1">
        <v>58579.16</v>
      </c>
      <c r="J94" s="1">
        <v>58579.16</v>
      </c>
      <c r="K94" s="1">
        <v>58579.16</v>
      </c>
    </row>
    <row r="95" spans="1:11" x14ac:dyDescent="0.25">
      <c r="A95">
        <v>2026</v>
      </c>
      <c r="B95">
        <v>2</v>
      </c>
      <c r="C95" t="s">
        <v>147</v>
      </c>
      <c r="D95" t="s">
        <v>131</v>
      </c>
      <c r="E95" t="s">
        <v>132</v>
      </c>
      <c r="F95" t="s">
        <v>142</v>
      </c>
      <c r="G95" t="s">
        <v>144</v>
      </c>
      <c r="H95" t="s">
        <v>16</v>
      </c>
      <c r="I95">
        <v>449.6</v>
      </c>
      <c r="J95">
        <v>449.6</v>
      </c>
      <c r="K95">
        <v>449.6</v>
      </c>
    </row>
    <row r="96" spans="1:11" x14ac:dyDescent="0.25">
      <c r="A96">
        <v>2026</v>
      </c>
      <c r="B96">
        <v>2</v>
      </c>
      <c r="C96" t="s">
        <v>148</v>
      </c>
      <c r="D96" t="s">
        <v>131</v>
      </c>
      <c r="E96" t="s">
        <v>132</v>
      </c>
      <c r="F96" t="s">
        <v>134</v>
      </c>
      <c r="G96" t="s">
        <v>22</v>
      </c>
      <c r="H96" t="s">
        <v>16</v>
      </c>
      <c r="I96" s="1">
        <v>1620</v>
      </c>
      <c r="J96" s="1">
        <v>1620</v>
      </c>
      <c r="K96">
        <v>0</v>
      </c>
    </row>
    <row r="97" spans="1:11" x14ac:dyDescent="0.25">
      <c r="A97">
        <v>2026</v>
      </c>
      <c r="B97">
        <v>2</v>
      </c>
      <c r="C97" t="s">
        <v>149</v>
      </c>
      <c r="D97" t="s">
        <v>131</v>
      </c>
      <c r="E97" t="s">
        <v>132</v>
      </c>
      <c r="F97" t="s">
        <v>150</v>
      </c>
      <c r="G97" t="s">
        <v>24</v>
      </c>
      <c r="H97" t="s">
        <v>151</v>
      </c>
      <c r="I97" s="1">
        <v>90373.26</v>
      </c>
      <c r="J97" s="1">
        <v>61087.5</v>
      </c>
      <c r="K97" s="1">
        <v>45587.15</v>
      </c>
    </row>
    <row r="98" spans="1:11" x14ac:dyDescent="0.25">
      <c r="A98">
        <v>2026</v>
      </c>
      <c r="B98">
        <v>2</v>
      </c>
      <c r="C98" t="s">
        <v>152</v>
      </c>
      <c r="D98" t="s">
        <v>131</v>
      </c>
      <c r="E98" t="s">
        <v>132</v>
      </c>
      <c r="F98" t="s">
        <v>150</v>
      </c>
      <c r="G98" t="s">
        <v>24</v>
      </c>
      <c r="H98" t="s">
        <v>151</v>
      </c>
      <c r="I98">
        <v>0</v>
      </c>
      <c r="J98" s="1">
        <v>81900.63</v>
      </c>
      <c r="K98" s="1">
        <v>199102</v>
      </c>
    </row>
    <row r="99" spans="1:11" x14ac:dyDescent="0.25">
      <c r="A99">
        <v>2026</v>
      </c>
      <c r="B99">
        <v>2</v>
      </c>
      <c r="C99" t="s">
        <v>153</v>
      </c>
      <c r="D99" t="s">
        <v>131</v>
      </c>
      <c r="E99" t="s">
        <v>132</v>
      </c>
      <c r="F99" t="s">
        <v>150</v>
      </c>
      <c r="G99" t="s">
        <v>24</v>
      </c>
      <c r="H99" t="s">
        <v>151</v>
      </c>
      <c r="I99" s="1">
        <v>283331.01</v>
      </c>
      <c r="J99" s="1">
        <v>257792.8</v>
      </c>
      <c r="K99" s="1">
        <v>63499.3</v>
      </c>
    </row>
    <row r="100" spans="1:11" x14ac:dyDescent="0.25">
      <c r="A100">
        <v>2026</v>
      </c>
      <c r="B100">
        <v>2</v>
      </c>
      <c r="C100" t="s">
        <v>154</v>
      </c>
      <c r="D100" t="s">
        <v>131</v>
      </c>
      <c r="E100" t="s">
        <v>132</v>
      </c>
      <c r="F100" t="s">
        <v>150</v>
      </c>
      <c r="G100" t="s">
        <v>24</v>
      </c>
      <c r="H100" t="s">
        <v>151</v>
      </c>
      <c r="I100">
        <v>0</v>
      </c>
      <c r="J100" s="1">
        <v>122551.51</v>
      </c>
      <c r="K100" s="1">
        <v>66141.399999999994</v>
      </c>
    </row>
    <row r="101" spans="1:11" x14ac:dyDescent="0.25">
      <c r="A101">
        <v>2026</v>
      </c>
      <c r="B101">
        <v>2</v>
      </c>
      <c r="C101" t="s">
        <v>155</v>
      </c>
      <c r="D101" t="s">
        <v>131</v>
      </c>
      <c r="E101" t="s">
        <v>132</v>
      </c>
      <c r="F101" t="s">
        <v>134</v>
      </c>
      <c r="G101" t="s">
        <v>24</v>
      </c>
      <c r="H101" t="s">
        <v>16</v>
      </c>
      <c r="I101" s="1">
        <v>163475.4</v>
      </c>
      <c r="J101" s="1">
        <v>11543597.6</v>
      </c>
      <c r="K101" s="1">
        <v>12239669.08</v>
      </c>
    </row>
    <row r="102" spans="1:11" x14ac:dyDescent="0.25">
      <c r="A102">
        <v>2026</v>
      </c>
      <c r="B102">
        <v>2</v>
      </c>
      <c r="C102" t="s">
        <v>156</v>
      </c>
      <c r="D102" t="s">
        <v>131</v>
      </c>
      <c r="E102" t="s">
        <v>132</v>
      </c>
      <c r="F102" t="s">
        <v>134</v>
      </c>
      <c r="G102" t="s">
        <v>24</v>
      </c>
      <c r="H102" t="s">
        <v>16</v>
      </c>
      <c r="I102" s="1">
        <v>303308.63</v>
      </c>
      <c r="J102" s="1">
        <v>405143.48</v>
      </c>
      <c r="K102" s="1">
        <v>1001804.89</v>
      </c>
    </row>
    <row r="103" spans="1:11" x14ac:dyDescent="0.25">
      <c r="A103">
        <v>2026</v>
      </c>
      <c r="B103">
        <v>2</v>
      </c>
      <c r="C103" t="s">
        <v>157</v>
      </c>
      <c r="D103" t="s">
        <v>131</v>
      </c>
      <c r="E103" t="s">
        <v>132</v>
      </c>
      <c r="F103" t="s">
        <v>139</v>
      </c>
      <c r="G103" t="s">
        <v>24</v>
      </c>
      <c r="H103" t="s">
        <v>16</v>
      </c>
      <c r="I103">
        <v>0</v>
      </c>
      <c r="J103" s="1">
        <v>164073.99</v>
      </c>
      <c r="K103" s="1">
        <v>645632.14</v>
      </c>
    </row>
    <row r="104" spans="1:11" x14ac:dyDescent="0.25">
      <c r="A104">
        <v>2026</v>
      </c>
      <c r="B104">
        <v>2</v>
      </c>
      <c r="C104" t="s">
        <v>158</v>
      </c>
      <c r="D104" t="s">
        <v>131</v>
      </c>
      <c r="E104" t="s">
        <v>132</v>
      </c>
      <c r="F104" t="s">
        <v>139</v>
      </c>
      <c r="G104" t="s">
        <v>24</v>
      </c>
      <c r="H104" t="s">
        <v>16</v>
      </c>
      <c r="I104" s="1">
        <v>5840000</v>
      </c>
      <c r="J104" s="1">
        <v>18980</v>
      </c>
      <c r="K104" s="1">
        <v>522885.52</v>
      </c>
    </row>
    <row r="105" spans="1:11" x14ac:dyDescent="0.25">
      <c r="A105">
        <v>2026</v>
      </c>
      <c r="B105">
        <v>2</v>
      </c>
      <c r="C105" t="s">
        <v>159</v>
      </c>
      <c r="D105" t="s">
        <v>131</v>
      </c>
      <c r="E105" t="s">
        <v>132</v>
      </c>
      <c r="F105" t="s">
        <v>160</v>
      </c>
      <c r="G105" t="s">
        <v>24</v>
      </c>
      <c r="H105" t="s">
        <v>16</v>
      </c>
      <c r="I105" s="1">
        <v>44165.1</v>
      </c>
      <c r="J105">
        <v>0</v>
      </c>
      <c r="K105">
        <v>0</v>
      </c>
    </row>
    <row r="106" spans="1:11" x14ac:dyDescent="0.25">
      <c r="A106">
        <v>2026</v>
      </c>
      <c r="B106">
        <v>2</v>
      </c>
      <c r="C106" t="s">
        <v>161</v>
      </c>
      <c r="D106" t="s">
        <v>131</v>
      </c>
      <c r="E106" t="s">
        <v>132</v>
      </c>
      <c r="F106" t="s">
        <v>134</v>
      </c>
      <c r="G106" t="s">
        <v>32</v>
      </c>
      <c r="H106" t="s">
        <v>16</v>
      </c>
      <c r="I106" s="1">
        <v>5638.24</v>
      </c>
      <c r="J106" s="1">
        <v>5638.24</v>
      </c>
      <c r="K106" s="1">
        <v>5638.24</v>
      </c>
    </row>
    <row r="107" spans="1:11" x14ac:dyDescent="0.25">
      <c r="A107">
        <v>2026</v>
      </c>
      <c r="B107">
        <v>2</v>
      </c>
      <c r="C107" t="s">
        <v>162</v>
      </c>
      <c r="D107" t="s">
        <v>131</v>
      </c>
      <c r="E107" t="s">
        <v>132</v>
      </c>
      <c r="F107" t="s">
        <v>134</v>
      </c>
      <c r="G107" t="s">
        <v>32</v>
      </c>
      <c r="H107" t="s">
        <v>16</v>
      </c>
      <c r="I107" s="1">
        <v>10009.5</v>
      </c>
      <c r="J107" s="1">
        <v>10009.5</v>
      </c>
      <c r="K107" s="1">
        <v>10009.5</v>
      </c>
    </row>
    <row r="108" spans="1:11" x14ac:dyDescent="0.25">
      <c r="A108">
        <v>2026</v>
      </c>
      <c r="B108">
        <v>2</v>
      </c>
      <c r="C108" t="s">
        <v>163</v>
      </c>
      <c r="D108" t="s">
        <v>131</v>
      </c>
      <c r="E108" t="s">
        <v>132</v>
      </c>
      <c r="F108" t="s">
        <v>134</v>
      </c>
      <c r="G108" t="s">
        <v>32</v>
      </c>
      <c r="H108" t="s">
        <v>16</v>
      </c>
      <c r="I108" s="1">
        <v>1049541.54</v>
      </c>
      <c r="J108" s="1">
        <v>3312</v>
      </c>
      <c r="K108" s="1">
        <v>3312</v>
      </c>
    </row>
    <row r="109" spans="1:11" x14ac:dyDescent="0.25">
      <c r="A109">
        <v>2026</v>
      </c>
      <c r="B109">
        <v>2</v>
      </c>
      <c r="C109" t="s">
        <v>164</v>
      </c>
      <c r="D109" t="s">
        <v>131</v>
      </c>
      <c r="E109" t="s">
        <v>132</v>
      </c>
      <c r="F109" t="s">
        <v>134</v>
      </c>
      <c r="G109" t="s">
        <v>32</v>
      </c>
      <c r="H109" t="s">
        <v>56</v>
      </c>
      <c r="I109" s="1">
        <v>1894716.33</v>
      </c>
      <c r="J109">
        <v>0</v>
      </c>
      <c r="K109">
        <v>0</v>
      </c>
    </row>
    <row r="110" spans="1:11" x14ac:dyDescent="0.25">
      <c r="A110">
        <v>2026</v>
      </c>
      <c r="B110">
        <v>2</v>
      </c>
      <c r="C110" t="s">
        <v>165</v>
      </c>
      <c r="D110" t="s">
        <v>131</v>
      </c>
      <c r="E110" t="s">
        <v>132</v>
      </c>
      <c r="F110" t="s">
        <v>139</v>
      </c>
      <c r="G110" t="s">
        <v>32</v>
      </c>
      <c r="H110" t="s">
        <v>16</v>
      </c>
      <c r="I110" s="1">
        <v>2798.52</v>
      </c>
      <c r="J110" s="1">
        <v>2798.52</v>
      </c>
      <c r="K110" s="1">
        <v>2798.52</v>
      </c>
    </row>
    <row r="111" spans="1:11" x14ac:dyDescent="0.25">
      <c r="A111">
        <v>2026</v>
      </c>
      <c r="B111">
        <v>2</v>
      </c>
      <c r="C111" t="s">
        <v>166</v>
      </c>
      <c r="D111" t="s">
        <v>131</v>
      </c>
      <c r="E111" t="s">
        <v>132</v>
      </c>
      <c r="F111" t="s">
        <v>139</v>
      </c>
      <c r="G111" t="s">
        <v>32</v>
      </c>
      <c r="H111" t="s">
        <v>16</v>
      </c>
      <c r="I111" s="1">
        <v>141658.21</v>
      </c>
      <c r="J111" s="1">
        <v>141658.21</v>
      </c>
      <c r="K111" s="1">
        <v>141658.21</v>
      </c>
    </row>
    <row r="112" spans="1:11" x14ac:dyDescent="0.25">
      <c r="A112">
        <v>2026</v>
      </c>
      <c r="B112">
        <v>2</v>
      </c>
      <c r="C112" t="s">
        <v>167</v>
      </c>
      <c r="D112" t="s">
        <v>131</v>
      </c>
      <c r="E112" t="s">
        <v>132</v>
      </c>
      <c r="F112" t="s">
        <v>139</v>
      </c>
      <c r="G112" t="s">
        <v>32</v>
      </c>
      <c r="H112" t="s">
        <v>16</v>
      </c>
      <c r="I112" s="1">
        <v>1073878.57</v>
      </c>
      <c r="J112">
        <v>0</v>
      </c>
      <c r="K112">
        <v>0</v>
      </c>
    </row>
    <row r="113" spans="1:11" x14ac:dyDescent="0.25">
      <c r="A113">
        <v>2026</v>
      </c>
      <c r="B113">
        <v>2</v>
      </c>
      <c r="C113" t="s">
        <v>168</v>
      </c>
      <c r="D113" t="s">
        <v>131</v>
      </c>
      <c r="E113" t="s">
        <v>132</v>
      </c>
      <c r="F113" t="s">
        <v>134</v>
      </c>
      <c r="G113" t="s">
        <v>169</v>
      </c>
      <c r="H113" t="s">
        <v>16</v>
      </c>
      <c r="I113">
        <v>0</v>
      </c>
      <c r="J113" s="1">
        <v>1130584.72</v>
      </c>
      <c r="K113" s="1">
        <v>1593087.88</v>
      </c>
    </row>
    <row r="114" spans="1:11" x14ac:dyDescent="0.25">
      <c r="A114">
        <v>2026</v>
      </c>
      <c r="B114">
        <v>2</v>
      </c>
      <c r="C114" t="s">
        <v>170</v>
      </c>
      <c r="D114" t="s">
        <v>131</v>
      </c>
      <c r="E114" t="s">
        <v>132</v>
      </c>
      <c r="F114" t="s">
        <v>134</v>
      </c>
      <c r="G114" t="s">
        <v>169</v>
      </c>
      <c r="H114" t="s">
        <v>16</v>
      </c>
      <c r="I114">
        <v>0</v>
      </c>
      <c r="J114" s="1">
        <v>254531.63</v>
      </c>
      <c r="K114" s="1">
        <v>508775.64</v>
      </c>
    </row>
    <row r="115" spans="1:11" x14ac:dyDescent="0.25">
      <c r="A115">
        <v>2026</v>
      </c>
      <c r="B115">
        <v>2</v>
      </c>
      <c r="C115" t="s">
        <v>171</v>
      </c>
      <c r="D115" t="s">
        <v>131</v>
      </c>
      <c r="E115" t="s">
        <v>132</v>
      </c>
      <c r="F115" t="s">
        <v>139</v>
      </c>
      <c r="G115" t="s">
        <v>169</v>
      </c>
      <c r="H115" t="s">
        <v>16</v>
      </c>
      <c r="I115">
        <v>0</v>
      </c>
      <c r="J115" s="1">
        <v>540111.56999999995</v>
      </c>
      <c r="K115" s="1">
        <v>1155254.02</v>
      </c>
    </row>
    <row r="116" spans="1:11" x14ac:dyDescent="0.25">
      <c r="A116">
        <v>2026</v>
      </c>
      <c r="B116">
        <v>2</v>
      </c>
      <c r="C116" t="s">
        <v>172</v>
      </c>
      <c r="D116" t="s">
        <v>131</v>
      </c>
      <c r="E116" t="s">
        <v>132</v>
      </c>
      <c r="F116" t="s">
        <v>139</v>
      </c>
      <c r="G116" t="s">
        <v>169</v>
      </c>
      <c r="H116" t="s">
        <v>16</v>
      </c>
      <c r="I116">
        <v>0</v>
      </c>
      <c r="J116" s="1">
        <v>583301.64</v>
      </c>
      <c r="K116" s="1">
        <v>1165944.1599999999</v>
      </c>
    </row>
    <row r="117" spans="1:11" x14ac:dyDescent="0.25">
      <c r="A117">
        <v>2026</v>
      </c>
      <c r="B117">
        <v>2</v>
      </c>
      <c r="C117" t="s">
        <v>173</v>
      </c>
      <c r="D117" t="s">
        <v>131</v>
      </c>
      <c r="E117" t="s">
        <v>13</v>
      </c>
      <c r="F117" t="s">
        <v>14</v>
      </c>
      <c r="G117" t="s">
        <v>34</v>
      </c>
      <c r="H117" t="s">
        <v>16</v>
      </c>
      <c r="I117">
        <v>0</v>
      </c>
      <c r="J117" s="1">
        <v>1156389.54</v>
      </c>
      <c r="K117" s="1">
        <v>1154850.1299999999</v>
      </c>
    </row>
    <row r="118" spans="1:11" x14ac:dyDescent="0.25">
      <c r="A118">
        <v>2026</v>
      </c>
      <c r="B118">
        <v>2</v>
      </c>
      <c r="C118" t="s">
        <v>174</v>
      </c>
      <c r="D118" t="s">
        <v>131</v>
      </c>
      <c r="E118" t="s">
        <v>132</v>
      </c>
      <c r="F118" t="s">
        <v>14</v>
      </c>
      <c r="G118" t="s">
        <v>34</v>
      </c>
      <c r="H118" t="s">
        <v>16</v>
      </c>
      <c r="I118">
        <v>0</v>
      </c>
      <c r="J118">
        <v>287.5</v>
      </c>
      <c r="K118">
        <v>0</v>
      </c>
    </row>
    <row r="119" spans="1:11" x14ac:dyDescent="0.25">
      <c r="A119">
        <v>2026</v>
      </c>
      <c r="B119">
        <v>2</v>
      </c>
      <c r="C119" t="s">
        <v>175</v>
      </c>
      <c r="D119" t="s">
        <v>131</v>
      </c>
      <c r="E119" t="s">
        <v>132</v>
      </c>
      <c r="F119" t="s">
        <v>134</v>
      </c>
      <c r="G119" t="s">
        <v>34</v>
      </c>
      <c r="H119" t="s">
        <v>16</v>
      </c>
      <c r="I119" s="1">
        <v>6271296.4800000004</v>
      </c>
      <c r="J119" s="1">
        <v>6547487.2699999996</v>
      </c>
      <c r="K119" s="1">
        <v>4415719.2</v>
      </c>
    </row>
    <row r="120" spans="1:11" x14ac:dyDescent="0.25">
      <c r="A120">
        <v>2026</v>
      </c>
      <c r="B120">
        <v>2</v>
      </c>
      <c r="C120" t="s">
        <v>176</v>
      </c>
      <c r="D120" t="s">
        <v>131</v>
      </c>
      <c r="E120" t="s">
        <v>132</v>
      </c>
      <c r="F120" t="s">
        <v>134</v>
      </c>
      <c r="G120" t="s">
        <v>34</v>
      </c>
      <c r="H120" t="s">
        <v>16</v>
      </c>
      <c r="I120" s="1">
        <v>141385.17000000001</v>
      </c>
      <c r="J120" s="1">
        <v>762262.39</v>
      </c>
      <c r="K120" s="1">
        <v>556024.17000000004</v>
      </c>
    </row>
    <row r="121" spans="1:11" x14ac:dyDescent="0.25">
      <c r="A121">
        <v>2026</v>
      </c>
      <c r="B121">
        <v>2</v>
      </c>
      <c r="C121" t="s">
        <v>177</v>
      </c>
      <c r="D121" t="s">
        <v>131</v>
      </c>
      <c r="E121" t="s">
        <v>132</v>
      </c>
      <c r="F121" t="s">
        <v>134</v>
      </c>
      <c r="G121" t="s">
        <v>34</v>
      </c>
      <c r="H121" t="s">
        <v>16</v>
      </c>
      <c r="I121">
        <v>0</v>
      </c>
      <c r="J121" s="1">
        <v>416557.38</v>
      </c>
      <c r="K121" s="1">
        <v>153900.93</v>
      </c>
    </row>
    <row r="122" spans="1:11" x14ac:dyDescent="0.25">
      <c r="A122">
        <v>2026</v>
      </c>
      <c r="B122">
        <v>2</v>
      </c>
      <c r="C122" t="s">
        <v>178</v>
      </c>
      <c r="D122" t="s">
        <v>131</v>
      </c>
      <c r="E122" t="s">
        <v>132</v>
      </c>
      <c r="F122" t="s">
        <v>134</v>
      </c>
      <c r="G122" t="s">
        <v>34</v>
      </c>
      <c r="H122" t="s">
        <v>16</v>
      </c>
      <c r="I122" s="1">
        <v>8246709.1100000003</v>
      </c>
      <c r="J122" s="1">
        <v>92318.22</v>
      </c>
      <c r="K122" s="1">
        <v>78618.94</v>
      </c>
    </row>
    <row r="123" spans="1:11" x14ac:dyDescent="0.25">
      <c r="A123">
        <v>2026</v>
      </c>
      <c r="B123">
        <v>2</v>
      </c>
      <c r="C123" t="s">
        <v>179</v>
      </c>
      <c r="D123" t="s">
        <v>131</v>
      </c>
      <c r="E123" t="s">
        <v>132</v>
      </c>
      <c r="F123" t="s">
        <v>134</v>
      </c>
      <c r="G123" t="s">
        <v>34</v>
      </c>
      <c r="H123" t="s">
        <v>56</v>
      </c>
      <c r="I123" s="1">
        <v>11406668.130000001</v>
      </c>
      <c r="J123" s="1">
        <v>931841.5</v>
      </c>
      <c r="K123" s="1">
        <v>931841.5</v>
      </c>
    </row>
    <row r="124" spans="1:11" x14ac:dyDescent="0.25">
      <c r="A124">
        <v>2026</v>
      </c>
      <c r="B124">
        <v>2</v>
      </c>
      <c r="C124" t="s">
        <v>180</v>
      </c>
      <c r="D124" t="s">
        <v>131</v>
      </c>
      <c r="E124" t="s">
        <v>132</v>
      </c>
      <c r="F124" t="s">
        <v>134</v>
      </c>
      <c r="G124" t="s">
        <v>34</v>
      </c>
      <c r="H124" t="s">
        <v>151</v>
      </c>
      <c r="I124" s="1">
        <v>570490.19999999995</v>
      </c>
      <c r="J124">
        <v>0</v>
      </c>
      <c r="K124">
        <v>0</v>
      </c>
    </row>
    <row r="125" spans="1:11" x14ac:dyDescent="0.25">
      <c r="A125">
        <v>2026</v>
      </c>
      <c r="B125">
        <v>2</v>
      </c>
      <c r="C125" t="s">
        <v>181</v>
      </c>
      <c r="D125" t="s">
        <v>131</v>
      </c>
      <c r="E125" t="s">
        <v>132</v>
      </c>
      <c r="F125" t="s">
        <v>139</v>
      </c>
      <c r="G125" t="s">
        <v>34</v>
      </c>
      <c r="H125" t="s">
        <v>16</v>
      </c>
      <c r="I125" s="1">
        <v>750296.33</v>
      </c>
      <c r="J125" s="1">
        <v>1887368.48</v>
      </c>
      <c r="K125" s="1">
        <v>1861218.37</v>
      </c>
    </row>
    <row r="126" spans="1:11" x14ac:dyDescent="0.25">
      <c r="A126">
        <v>2026</v>
      </c>
      <c r="B126">
        <v>2</v>
      </c>
      <c r="C126" t="s">
        <v>182</v>
      </c>
      <c r="D126" t="s">
        <v>131</v>
      </c>
      <c r="E126" t="s">
        <v>132</v>
      </c>
      <c r="F126" t="s">
        <v>139</v>
      </c>
      <c r="G126" t="s">
        <v>34</v>
      </c>
      <c r="H126" t="s">
        <v>16</v>
      </c>
      <c r="I126" s="1">
        <v>329237.07</v>
      </c>
      <c r="J126" s="1">
        <v>143985.85999999999</v>
      </c>
      <c r="K126" s="1">
        <v>35099.25</v>
      </c>
    </row>
    <row r="127" spans="1:11" x14ac:dyDescent="0.25">
      <c r="A127">
        <v>2026</v>
      </c>
      <c r="B127">
        <v>2</v>
      </c>
      <c r="C127" t="s">
        <v>183</v>
      </c>
      <c r="D127" t="s">
        <v>131</v>
      </c>
      <c r="E127" t="s">
        <v>132</v>
      </c>
      <c r="F127" t="s">
        <v>139</v>
      </c>
      <c r="G127" t="s">
        <v>34</v>
      </c>
      <c r="H127" t="s">
        <v>16</v>
      </c>
      <c r="I127" s="1">
        <v>2711029.43</v>
      </c>
      <c r="J127">
        <v>0</v>
      </c>
      <c r="K127">
        <v>0</v>
      </c>
    </row>
    <row r="128" spans="1:11" x14ac:dyDescent="0.25">
      <c r="A128">
        <v>2026</v>
      </c>
      <c r="B128">
        <v>2</v>
      </c>
      <c r="C128" t="s">
        <v>184</v>
      </c>
      <c r="D128" t="s">
        <v>131</v>
      </c>
      <c r="E128" t="s">
        <v>132</v>
      </c>
      <c r="F128" t="s">
        <v>134</v>
      </c>
      <c r="G128" t="s">
        <v>70</v>
      </c>
      <c r="H128" t="s">
        <v>16</v>
      </c>
      <c r="I128" s="1">
        <v>1567897.23</v>
      </c>
      <c r="J128" s="1">
        <v>2261050.66</v>
      </c>
      <c r="K128" s="1">
        <v>2637737.06</v>
      </c>
    </row>
    <row r="129" spans="1:11" x14ac:dyDescent="0.25">
      <c r="A129">
        <v>2026</v>
      </c>
      <c r="B129">
        <v>2</v>
      </c>
      <c r="C129" t="s">
        <v>185</v>
      </c>
      <c r="D129" t="s">
        <v>131</v>
      </c>
      <c r="E129" t="s">
        <v>132</v>
      </c>
      <c r="F129" t="s">
        <v>14</v>
      </c>
      <c r="G129" t="s">
        <v>186</v>
      </c>
      <c r="H129" t="s">
        <v>16</v>
      </c>
      <c r="I129">
        <v>972</v>
      </c>
      <c r="J129">
        <v>972</v>
      </c>
      <c r="K129">
        <v>972</v>
      </c>
    </row>
    <row r="130" spans="1:11" x14ac:dyDescent="0.25">
      <c r="A130">
        <v>2026</v>
      </c>
      <c r="B130">
        <v>2</v>
      </c>
      <c r="C130" t="s">
        <v>187</v>
      </c>
      <c r="D130" t="s">
        <v>131</v>
      </c>
      <c r="E130" t="s">
        <v>132</v>
      </c>
      <c r="F130" t="s">
        <v>134</v>
      </c>
      <c r="G130" t="s">
        <v>186</v>
      </c>
      <c r="H130" t="s">
        <v>16</v>
      </c>
      <c r="I130" s="1">
        <v>1295914.52</v>
      </c>
      <c r="J130" s="1">
        <v>1295914.52</v>
      </c>
      <c r="K130" s="1">
        <v>1295914.52</v>
      </c>
    </row>
    <row r="131" spans="1:11" x14ac:dyDescent="0.25">
      <c r="A131">
        <v>2026</v>
      </c>
      <c r="B131">
        <v>2</v>
      </c>
      <c r="C131" t="s">
        <v>188</v>
      </c>
      <c r="D131" t="s">
        <v>131</v>
      </c>
      <c r="E131" t="s">
        <v>132</v>
      </c>
      <c r="F131" t="s">
        <v>134</v>
      </c>
      <c r="G131" t="s">
        <v>186</v>
      </c>
      <c r="H131" t="s">
        <v>16</v>
      </c>
      <c r="I131" s="1">
        <v>166357.56</v>
      </c>
      <c r="J131" s="1">
        <v>166357.56</v>
      </c>
      <c r="K131" s="1">
        <v>166357.56</v>
      </c>
    </row>
    <row r="132" spans="1:11" x14ac:dyDescent="0.25">
      <c r="A132">
        <v>2026</v>
      </c>
      <c r="B132">
        <v>2</v>
      </c>
      <c r="C132" t="s">
        <v>189</v>
      </c>
      <c r="D132" t="s">
        <v>131</v>
      </c>
      <c r="E132" t="s">
        <v>132</v>
      </c>
      <c r="F132" t="s">
        <v>139</v>
      </c>
      <c r="G132" t="s">
        <v>186</v>
      </c>
      <c r="H132" t="s">
        <v>16</v>
      </c>
      <c r="I132" s="1">
        <v>81660</v>
      </c>
      <c r="J132" s="1">
        <v>81660</v>
      </c>
      <c r="K132" s="1">
        <v>81660</v>
      </c>
    </row>
    <row r="133" spans="1:11" x14ac:dyDescent="0.25">
      <c r="A133">
        <v>2026</v>
      </c>
      <c r="B133">
        <v>2</v>
      </c>
      <c r="C133" t="s">
        <v>190</v>
      </c>
      <c r="D133" t="s">
        <v>131</v>
      </c>
      <c r="E133" t="s">
        <v>132</v>
      </c>
      <c r="F133" t="s">
        <v>139</v>
      </c>
      <c r="G133" t="s">
        <v>186</v>
      </c>
      <c r="H133" t="s">
        <v>16</v>
      </c>
      <c r="I133" s="1">
        <v>1161918</v>
      </c>
      <c r="J133" s="1">
        <v>1161918</v>
      </c>
      <c r="K133" s="1">
        <v>1161918</v>
      </c>
    </row>
    <row r="134" spans="1:11" x14ac:dyDescent="0.25">
      <c r="A134">
        <v>2026</v>
      </c>
      <c r="B134">
        <v>2</v>
      </c>
      <c r="C134" t="s">
        <v>191</v>
      </c>
      <c r="D134" t="s">
        <v>131</v>
      </c>
      <c r="E134" t="s">
        <v>132</v>
      </c>
      <c r="F134" t="s">
        <v>142</v>
      </c>
      <c r="G134" t="s">
        <v>186</v>
      </c>
      <c r="H134" t="s">
        <v>16</v>
      </c>
      <c r="I134" s="1">
        <v>16806</v>
      </c>
      <c r="J134" s="1">
        <v>16806</v>
      </c>
      <c r="K134" s="1">
        <v>16806</v>
      </c>
    </row>
    <row r="135" spans="1:11" x14ac:dyDescent="0.25">
      <c r="A135">
        <v>2026</v>
      </c>
      <c r="B135">
        <v>2</v>
      </c>
      <c r="C135" t="s">
        <v>192</v>
      </c>
      <c r="D135" t="s">
        <v>131</v>
      </c>
      <c r="E135" t="s">
        <v>132</v>
      </c>
      <c r="F135" t="s">
        <v>150</v>
      </c>
      <c r="G135" t="s">
        <v>46</v>
      </c>
      <c r="H135" t="s">
        <v>16</v>
      </c>
      <c r="I135">
        <v>0</v>
      </c>
      <c r="J135">
        <v>0</v>
      </c>
      <c r="K135" s="1">
        <v>3092638.21</v>
      </c>
    </row>
    <row r="136" spans="1:11" x14ac:dyDescent="0.25">
      <c r="A136">
        <v>2026</v>
      </c>
      <c r="B136">
        <v>2</v>
      </c>
      <c r="C136" t="s">
        <v>193</v>
      </c>
      <c r="D136" t="s">
        <v>131</v>
      </c>
      <c r="E136" t="s">
        <v>132</v>
      </c>
      <c r="F136" t="s">
        <v>134</v>
      </c>
      <c r="G136" t="s">
        <v>46</v>
      </c>
      <c r="H136" t="s">
        <v>16</v>
      </c>
      <c r="I136">
        <v>0</v>
      </c>
      <c r="J136" s="1">
        <v>1704648.94</v>
      </c>
      <c r="K136" s="1">
        <v>1929253.08</v>
      </c>
    </row>
    <row r="137" spans="1:11" x14ac:dyDescent="0.25">
      <c r="A137">
        <v>2026</v>
      </c>
      <c r="B137">
        <v>2</v>
      </c>
      <c r="C137" t="s">
        <v>194</v>
      </c>
      <c r="D137" t="s">
        <v>131</v>
      </c>
      <c r="E137" t="s">
        <v>132</v>
      </c>
      <c r="F137" t="s">
        <v>134</v>
      </c>
      <c r="G137" t="s">
        <v>46</v>
      </c>
      <c r="H137" t="s">
        <v>16</v>
      </c>
      <c r="I137">
        <v>0</v>
      </c>
      <c r="J137">
        <v>0</v>
      </c>
      <c r="K137" s="1">
        <v>4277.7700000000004</v>
      </c>
    </row>
    <row r="138" spans="1:11" x14ac:dyDescent="0.25">
      <c r="A138">
        <v>2026</v>
      </c>
      <c r="B138">
        <v>2</v>
      </c>
      <c r="C138" t="s">
        <v>195</v>
      </c>
      <c r="D138" t="s">
        <v>131</v>
      </c>
      <c r="E138" t="s">
        <v>132</v>
      </c>
      <c r="F138" t="s">
        <v>134</v>
      </c>
      <c r="G138" t="s">
        <v>46</v>
      </c>
      <c r="H138" t="s">
        <v>16</v>
      </c>
      <c r="I138" s="1">
        <v>200000</v>
      </c>
      <c r="J138" s="1">
        <v>374574.34</v>
      </c>
      <c r="K138" s="1">
        <v>675500.98</v>
      </c>
    </row>
    <row r="139" spans="1:11" x14ac:dyDescent="0.25">
      <c r="A139">
        <v>2026</v>
      </c>
      <c r="B139">
        <v>2</v>
      </c>
      <c r="C139" t="s">
        <v>196</v>
      </c>
      <c r="D139" t="s">
        <v>131</v>
      </c>
      <c r="E139" t="s">
        <v>132</v>
      </c>
      <c r="F139" t="s">
        <v>134</v>
      </c>
      <c r="G139" t="s">
        <v>197</v>
      </c>
      <c r="H139" t="s">
        <v>16</v>
      </c>
      <c r="I139">
        <v>0</v>
      </c>
      <c r="J139">
        <v>0</v>
      </c>
      <c r="K139" s="1">
        <v>226230.43</v>
      </c>
    </row>
    <row r="140" spans="1:11" x14ac:dyDescent="0.25">
      <c r="A140">
        <v>2026</v>
      </c>
      <c r="B140">
        <v>2</v>
      </c>
      <c r="C140" t="s">
        <v>198</v>
      </c>
      <c r="D140" t="s">
        <v>131</v>
      </c>
      <c r="E140" t="s">
        <v>132</v>
      </c>
      <c r="F140" t="s">
        <v>134</v>
      </c>
      <c r="G140" t="s">
        <v>199</v>
      </c>
      <c r="H140" t="s">
        <v>16</v>
      </c>
      <c r="I140">
        <v>0</v>
      </c>
      <c r="J140" s="1">
        <v>1684964.59</v>
      </c>
      <c r="K140" s="1">
        <v>1861757.02</v>
      </c>
    </row>
    <row r="141" spans="1:11" x14ac:dyDescent="0.25">
      <c r="A141">
        <v>2026</v>
      </c>
      <c r="B141">
        <v>2</v>
      </c>
      <c r="C141" t="s">
        <v>200</v>
      </c>
      <c r="D141" t="s">
        <v>131</v>
      </c>
      <c r="E141" t="s">
        <v>132</v>
      </c>
      <c r="F141" t="s">
        <v>134</v>
      </c>
      <c r="G141" t="s">
        <v>123</v>
      </c>
      <c r="H141" t="s">
        <v>16</v>
      </c>
      <c r="I141" s="1">
        <v>-1984174.36</v>
      </c>
      <c r="J141" s="1">
        <v>688112.67</v>
      </c>
      <c r="K141" s="1">
        <v>1219272.77</v>
      </c>
    </row>
    <row r="142" spans="1:11" x14ac:dyDescent="0.25">
      <c r="A142">
        <v>2026</v>
      </c>
      <c r="B142">
        <v>2</v>
      </c>
      <c r="C142" t="s">
        <v>201</v>
      </c>
      <c r="D142" t="s">
        <v>131</v>
      </c>
      <c r="E142" t="s">
        <v>132</v>
      </c>
      <c r="F142" t="s">
        <v>139</v>
      </c>
      <c r="G142" t="s">
        <v>123</v>
      </c>
      <c r="H142" t="s">
        <v>16</v>
      </c>
      <c r="I142" s="1">
        <v>1335000</v>
      </c>
      <c r="J142" s="1">
        <v>91000.33</v>
      </c>
      <c r="K142" s="1">
        <v>34843.46</v>
      </c>
    </row>
    <row r="143" spans="1:11" x14ac:dyDescent="0.25">
      <c r="A143">
        <v>2026</v>
      </c>
      <c r="B143">
        <v>2</v>
      </c>
      <c r="C143" t="s">
        <v>202</v>
      </c>
      <c r="D143" t="s">
        <v>131</v>
      </c>
      <c r="E143" t="s">
        <v>132</v>
      </c>
      <c r="F143" t="s">
        <v>139</v>
      </c>
      <c r="G143" t="s">
        <v>123</v>
      </c>
      <c r="H143" t="s">
        <v>16</v>
      </c>
      <c r="I143">
        <v>0</v>
      </c>
      <c r="J143">
        <v>969.79</v>
      </c>
      <c r="K143">
        <v>0</v>
      </c>
    </row>
    <row r="144" spans="1:11" x14ac:dyDescent="0.25">
      <c r="A144">
        <v>2026</v>
      </c>
      <c r="B144">
        <v>2</v>
      </c>
      <c r="C144" t="s">
        <v>203</v>
      </c>
      <c r="D144" t="s">
        <v>131</v>
      </c>
      <c r="E144" t="s">
        <v>132</v>
      </c>
      <c r="F144" t="s">
        <v>139</v>
      </c>
      <c r="G144" t="s">
        <v>123</v>
      </c>
      <c r="H144" t="s">
        <v>151</v>
      </c>
      <c r="I144">
        <v>0</v>
      </c>
      <c r="J144" s="1">
        <v>31302.12</v>
      </c>
      <c r="K144">
        <v>0</v>
      </c>
    </row>
    <row r="145" spans="1:11" x14ac:dyDescent="0.25">
      <c r="A145">
        <v>2026</v>
      </c>
      <c r="B145">
        <v>2</v>
      </c>
      <c r="C145" t="s">
        <v>204</v>
      </c>
      <c r="D145" t="s">
        <v>131</v>
      </c>
      <c r="E145" t="s">
        <v>132</v>
      </c>
      <c r="F145" t="s">
        <v>134</v>
      </c>
      <c r="G145" t="s">
        <v>49</v>
      </c>
      <c r="H145" t="s">
        <v>16</v>
      </c>
      <c r="I145" s="1">
        <v>10346.4</v>
      </c>
      <c r="J145" s="1">
        <v>526217</v>
      </c>
      <c r="K145" s="1">
        <v>186533.92</v>
      </c>
    </row>
    <row r="146" spans="1:11" x14ac:dyDescent="0.25">
      <c r="A146">
        <v>2026</v>
      </c>
      <c r="B146">
        <v>2</v>
      </c>
      <c r="C146" t="s">
        <v>205</v>
      </c>
      <c r="D146" t="s">
        <v>131</v>
      </c>
      <c r="E146" t="s">
        <v>132</v>
      </c>
      <c r="F146" t="s">
        <v>139</v>
      </c>
      <c r="G146" t="s">
        <v>49</v>
      </c>
      <c r="H146" t="s">
        <v>16</v>
      </c>
      <c r="I146" s="1">
        <v>13200</v>
      </c>
      <c r="J146" s="1">
        <v>155983</v>
      </c>
      <c r="K146" s="1">
        <v>28330</v>
      </c>
    </row>
    <row r="147" spans="1:11" x14ac:dyDescent="0.25">
      <c r="A147">
        <v>2026</v>
      </c>
      <c r="B147">
        <v>2</v>
      </c>
      <c r="C147" t="s">
        <v>206</v>
      </c>
      <c r="D147" t="s">
        <v>131</v>
      </c>
      <c r="E147" t="s">
        <v>132</v>
      </c>
      <c r="F147" t="s">
        <v>134</v>
      </c>
      <c r="G147" t="s">
        <v>46</v>
      </c>
      <c r="H147" t="s">
        <v>16</v>
      </c>
      <c r="I147" s="1">
        <v>566045.67000000004</v>
      </c>
      <c r="J147" s="1">
        <v>566045.67000000004</v>
      </c>
      <c r="K147" s="1">
        <v>566045.67000000004</v>
      </c>
    </row>
    <row r="148" spans="1:11" x14ac:dyDescent="0.25">
      <c r="A148">
        <v>2026</v>
      </c>
      <c r="B148">
        <v>2</v>
      </c>
      <c r="C148" t="s">
        <v>207</v>
      </c>
      <c r="D148" t="s">
        <v>131</v>
      </c>
      <c r="E148" t="s">
        <v>132</v>
      </c>
      <c r="F148" t="s">
        <v>134</v>
      </c>
      <c r="G148" t="s">
        <v>208</v>
      </c>
      <c r="H148" t="s">
        <v>56</v>
      </c>
      <c r="I148" s="1">
        <v>2368415.0499999998</v>
      </c>
      <c r="J148" s="1">
        <v>2368415.0499999998</v>
      </c>
      <c r="K148" s="1">
        <v>2368415.0499999998</v>
      </c>
    </row>
    <row r="149" spans="1:11" x14ac:dyDescent="0.25">
      <c r="A149">
        <v>2026</v>
      </c>
      <c r="B149">
        <v>2</v>
      </c>
      <c r="C149" t="s">
        <v>209</v>
      </c>
      <c r="D149" t="s">
        <v>131</v>
      </c>
      <c r="E149" t="s">
        <v>132</v>
      </c>
      <c r="F149" t="s">
        <v>139</v>
      </c>
      <c r="G149" t="s">
        <v>208</v>
      </c>
      <c r="H149" t="s">
        <v>56</v>
      </c>
      <c r="I149" s="1">
        <v>3265.18</v>
      </c>
      <c r="J149" s="1">
        <v>3265.18</v>
      </c>
      <c r="K149" s="1">
        <v>3265.18</v>
      </c>
    </row>
    <row r="150" spans="1:11" x14ac:dyDescent="0.25">
      <c r="A150">
        <v>2026</v>
      </c>
      <c r="B150">
        <v>2</v>
      </c>
      <c r="C150" t="s">
        <v>210</v>
      </c>
      <c r="D150" t="s">
        <v>131</v>
      </c>
      <c r="E150" t="s">
        <v>132</v>
      </c>
      <c r="F150" t="s">
        <v>139</v>
      </c>
      <c r="G150" t="s">
        <v>208</v>
      </c>
      <c r="H150" t="s">
        <v>56</v>
      </c>
      <c r="I150" s="1">
        <v>798766.16</v>
      </c>
      <c r="J150" s="1">
        <v>798766.16</v>
      </c>
      <c r="K150" s="1">
        <v>798766.16</v>
      </c>
    </row>
    <row r="151" spans="1:11" x14ac:dyDescent="0.25">
      <c r="A151">
        <v>2026</v>
      </c>
      <c r="B151">
        <v>2</v>
      </c>
      <c r="C151" t="s">
        <v>211</v>
      </c>
      <c r="D151" t="s">
        <v>131</v>
      </c>
      <c r="E151" t="s">
        <v>132</v>
      </c>
      <c r="F151" t="s">
        <v>134</v>
      </c>
      <c r="G151" t="s">
        <v>15</v>
      </c>
      <c r="H151" t="s">
        <v>56</v>
      </c>
      <c r="I151" s="1">
        <v>14499920.07</v>
      </c>
      <c r="J151" s="1">
        <v>14499920.07</v>
      </c>
      <c r="K151" s="1">
        <v>14498599.23</v>
      </c>
    </row>
    <row r="152" spans="1:11" x14ac:dyDescent="0.25">
      <c r="A152">
        <v>2026</v>
      </c>
      <c r="B152">
        <v>2</v>
      </c>
      <c r="C152" t="s">
        <v>212</v>
      </c>
      <c r="D152" t="s">
        <v>131</v>
      </c>
      <c r="E152" t="s">
        <v>132</v>
      </c>
      <c r="F152" t="s">
        <v>134</v>
      </c>
      <c r="G152" t="s">
        <v>15</v>
      </c>
      <c r="H152" t="s">
        <v>56</v>
      </c>
      <c r="I152" s="1">
        <v>1554521.41</v>
      </c>
      <c r="J152" s="1">
        <v>1554521.41</v>
      </c>
      <c r="K152" s="1">
        <v>1548738.08</v>
      </c>
    </row>
    <row r="153" spans="1:11" x14ac:dyDescent="0.25">
      <c r="A153">
        <v>2026</v>
      </c>
      <c r="B153">
        <v>2</v>
      </c>
      <c r="C153" t="s">
        <v>213</v>
      </c>
      <c r="D153" t="s">
        <v>131</v>
      </c>
      <c r="E153" t="s">
        <v>132</v>
      </c>
      <c r="F153" t="s">
        <v>139</v>
      </c>
      <c r="G153" t="s">
        <v>15</v>
      </c>
      <c r="H153" t="s">
        <v>56</v>
      </c>
      <c r="I153" s="1">
        <v>798625.19</v>
      </c>
      <c r="J153" s="1">
        <v>798625.19</v>
      </c>
      <c r="K153" s="1">
        <v>798625.19</v>
      </c>
    </row>
    <row r="154" spans="1:11" x14ac:dyDescent="0.25">
      <c r="A154">
        <v>2026</v>
      </c>
      <c r="B154">
        <v>2</v>
      </c>
      <c r="C154" t="s">
        <v>214</v>
      </c>
      <c r="D154" t="s">
        <v>131</v>
      </c>
      <c r="E154" t="s">
        <v>132</v>
      </c>
      <c r="F154" t="s">
        <v>139</v>
      </c>
      <c r="G154" t="s">
        <v>15</v>
      </c>
      <c r="H154" t="s">
        <v>56</v>
      </c>
      <c r="I154" s="1">
        <v>9839499.3499999996</v>
      </c>
      <c r="J154" s="1">
        <v>9839499.3499999996</v>
      </c>
      <c r="K154" s="1">
        <v>9834725.6099999994</v>
      </c>
    </row>
    <row r="155" spans="1:11" x14ac:dyDescent="0.25">
      <c r="A155">
        <v>2026</v>
      </c>
      <c r="B155">
        <v>2</v>
      </c>
      <c r="C155" t="s">
        <v>215</v>
      </c>
      <c r="D155" t="s">
        <v>131</v>
      </c>
      <c r="E155" t="s">
        <v>132</v>
      </c>
      <c r="F155" t="s">
        <v>142</v>
      </c>
      <c r="G155" t="s">
        <v>15</v>
      </c>
      <c r="H155" t="s">
        <v>56</v>
      </c>
      <c r="I155" s="1">
        <v>238114.74</v>
      </c>
      <c r="J155" s="1">
        <v>238114.74</v>
      </c>
      <c r="K155" s="1">
        <v>238114.74</v>
      </c>
    </row>
    <row r="156" spans="1:11" x14ac:dyDescent="0.25">
      <c r="A156">
        <v>2026</v>
      </c>
      <c r="B156">
        <v>2</v>
      </c>
      <c r="C156" t="s">
        <v>216</v>
      </c>
      <c r="D156" t="s">
        <v>131</v>
      </c>
      <c r="E156" t="s">
        <v>132</v>
      </c>
      <c r="F156" t="s">
        <v>134</v>
      </c>
      <c r="G156" t="s">
        <v>136</v>
      </c>
      <c r="H156" t="s">
        <v>56</v>
      </c>
      <c r="I156" s="1">
        <v>2802.54</v>
      </c>
      <c r="J156" s="1">
        <v>2802.54</v>
      </c>
      <c r="K156" s="1">
        <v>2802.54</v>
      </c>
    </row>
    <row r="157" spans="1:11" x14ac:dyDescent="0.25">
      <c r="A157">
        <v>2026</v>
      </c>
      <c r="B157">
        <v>2</v>
      </c>
      <c r="C157" t="s">
        <v>217</v>
      </c>
      <c r="D157" t="s">
        <v>131</v>
      </c>
      <c r="E157" t="s">
        <v>132</v>
      </c>
      <c r="F157" t="s">
        <v>139</v>
      </c>
      <c r="G157" t="s">
        <v>136</v>
      </c>
      <c r="H157" t="s">
        <v>56</v>
      </c>
      <c r="I157" s="1">
        <v>1881.34</v>
      </c>
      <c r="J157" s="1">
        <v>1881.34</v>
      </c>
      <c r="K157" s="1">
        <v>1881.34</v>
      </c>
    </row>
    <row r="158" spans="1:11" x14ac:dyDescent="0.25">
      <c r="A158">
        <v>2026</v>
      </c>
      <c r="B158">
        <v>2</v>
      </c>
      <c r="C158" t="s">
        <v>218</v>
      </c>
      <c r="D158" t="s">
        <v>131</v>
      </c>
      <c r="E158" t="s">
        <v>132</v>
      </c>
      <c r="F158" t="s">
        <v>134</v>
      </c>
      <c r="G158" t="s">
        <v>219</v>
      </c>
      <c r="H158" t="s">
        <v>56</v>
      </c>
      <c r="I158" s="1">
        <v>634842.88</v>
      </c>
      <c r="J158" s="1">
        <v>634842.88</v>
      </c>
      <c r="K158" s="1">
        <v>634842.88</v>
      </c>
    </row>
    <row r="159" spans="1:11" x14ac:dyDescent="0.25">
      <c r="A159">
        <v>2026</v>
      </c>
      <c r="B159">
        <v>2</v>
      </c>
      <c r="C159" t="s">
        <v>220</v>
      </c>
      <c r="D159" t="s">
        <v>131</v>
      </c>
      <c r="E159" t="s">
        <v>132</v>
      </c>
      <c r="F159" t="s">
        <v>134</v>
      </c>
      <c r="G159" t="s">
        <v>219</v>
      </c>
      <c r="H159" t="s">
        <v>56</v>
      </c>
      <c r="I159" s="1">
        <v>2208.7600000000002</v>
      </c>
      <c r="J159" s="1">
        <v>2208.7600000000002</v>
      </c>
      <c r="K159" s="1">
        <v>2208.7600000000002</v>
      </c>
    </row>
    <row r="160" spans="1:11" x14ac:dyDescent="0.25">
      <c r="A160">
        <v>2026</v>
      </c>
      <c r="B160">
        <v>2</v>
      </c>
      <c r="C160" t="s">
        <v>221</v>
      </c>
      <c r="D160" t="s">
        <v>131</v>
      </c>
      <c r="E160" t="s">
        <v>132</v>
      </c>
      <c r="F160" t="s">
        <v>139</v>
      </c>
      <c r="G160" t="s">
        <v>219</v>
      </c>
      <c r="H160" t="s">
        <v>56</v>
      </c>
      <c r="I160">
        <v>640.88</v>
      </c>
      <c r="J160">
        <v>640.88</v>
      </c>
      <c r="K160">
        <v>640.88</v>
      </c>
    </row>
    <row r="161" spans="1:11" x14ac:dyDescent="0.25">
      <c r="A161">
        <v>2026</v>
      </c>
      <c r="B161">
        <v>2</v>
      </c>
      <c r="C161" t="s">
        <v>222</v>
      </c>
      <c r="D161" t="s">
        <v>131</v>
      </c>
      <c r="E161" t="s">
        <v>132</v>
      </c>
      <c r="F161" t="s">
        <v>139</v>
      </c>
      <c r="G161" t="s">
        <v>219</v>
      </c>
      <c r="H161" t="s">
        <v>56</v>
      </c>
      <c r="I161" s="1">
        <v>158731.99</v>
      </c>
      <c r="J161" s="1">
        <v>158731.99</v>
      </c>
      <c r="K161" s="1">
        <v>158731.99</v>
      </c>
    </row>
    <row r="162" spans="1:11" x14ac:dyDescent="0.25">
      <c r="A162">
        <v>2026</v>
      </c>
      <c r="B162">
        <v>2</v>
      </c>
      <c r="C162" t="s">
        <v>223</v>
      </c>
      <c r="D162" t="s">
        <v>131</v>
      </c>
      <c r="E162" t="s">
        <v>132</v>
      </c>
      <c r="F162" t="s">
        <v>142</v>
      </c>
      <c r="G162" t="s">
        <v>219</v>
      </c>
      <c r="H162" t="s">
        <v>56</v>
      </c>
      <c r="I162">
        <v>440.23</v>
      </c>
      <c r="J162">
        <v>440.23</v>
      </c>
      <c r="K162">
        <v>440.23</v>
      </c>
    </row>
    <row r="163" spans="1:11" x14ac:dyDescent="0.25">
      <c r="A163">
        <v>2026</v>
      </c>
      <c r="B163">
        <v>2</v>
      </c>
      <c r="C163" t="s">
        <v>224</v>
      </c>
      <c r="D163" t="s">
        <v>131</v>
      </c>
      <c r="E163" t="s">
        <v>132</v>
      </c>
      <c r="F163" t="s">
        <v>134</v>
      </c>
      <c r="G163" t="s">
        <v>225</v>
      </c>
      <c r="H163" t="s">
        <v>56</v>
      </c>
      <c r="I163" s="1">
        <v>35605.9</v>
      </c>
      <c r="J163" s="1">
        <v>35605.9</v>
      </c>
      <c r="K163" s="1">
        <v>28487.31</v>
      </c>
    </row>
    <row r="164" spans="1:11" x14ac:dyDescent="0.25">
      <c r="A164">
        <v>2026</v>
      </c>
      <c r="B164">
        <v>2</v>
      </c>
      <c r="C164" t="s">
        <v>226</v>
      </c>
      <c r="D164" t="s">
        <v>131</v>
      </c>
      <c r="E164" t="s">
        <v>132</v>
      </c>
      <c r="F164" t="s">
        <v>134</v>
      </c>
      <c r="G164" t="s">
        <v>225</v>
      </c>
      <c r="H164" t="s">
        <v>56</v>
      </c>
      <c r="I164" s="1">
        <v>18022.41</v>
      </c>
      <c r="J164" s="1">
        <v>18022.41</v>
      </c>
      <c r="K164" s="1">
        <v>18022.41</v>
      </c>
    </row>
    <row r="165" spans="1:11" x14ac:dyDescent="0.25">
      <c r="A165">
        <v>2026</v>
      </c>
      <c r="B165">
        <v>2</v>
      </c>
      <c r="C165" t="s">
        <v>227</v>
      </c>
      <c r="D165" t="s">
        <v>131</v>
      </c>
      <c r="E165" t="s">
        <v>132</v>
      </c>
      <c r="F165" t="s">
        <v>139</v>
      </c>
      <c r="G165" t="s">
        <v>225</v>
      </c>
      <c r="H165" t="s">
        <v>56</v>
      </c>
      <c r="I165" s="1">
        <v>16588.72</v>
      </c>
      <c r="J165" s="1">
        <v>16588.72</v>
      </c>
      <c r="K165" s="1">
        <v>16588.72</v>
      </c>
    </row>
    <row r="166" spans="1:11" x14ac:dyDescent="0.25">
      <c r="A166">
        <v>2026</v>
      </c>
      <c r="B166">
        <v>2</v>
      </c>
      <c r="C166" t="s">
        <v>228</v>
      </c>
      <c r="D166" t="s">
        <v>131</v>
      </c>
      <c r="E166" t="s">
        <v>132</v>
      </c>
      <c r="F166" t="s">
        <v>134</v>
      </c>
      <c r="G166" t="s">
        <v>136</v>
      </c>
      <c r="H166" t="s">
        <v>56</v>
      </c>
      <c r="I166" s="1">
        <v>4991100.17</v>
      </c>
      <c r="J166" s="1">
        <v>4991100.17</v>
      </c>
      <c r="K166" s="1">
        <v>4991100.17</v>
      </c>
    </row>
    <row r="167" spans="1:11" x14ac:dyDescent="0.25">
      <c r="A167">
        <v>2026</v>
      </c>
      <c r="B167">
        <v>2</v>
      </c>
      <c r="C167" t="s">
        <v>229</v>
      </c>
      <c r="D167" t="s">
        <v>131</v>
      </c>
      <c r="E167" t="s">
        <v>132</v>
      </c>
      <c r="F167" t="s">
        <v>134</v>
      </c>
      <c r="G167" t="s">
        <v>136</v>
      </c>
      <c r="H167" t="s">
        <v>56</v>
      </c>
      <c r="I167" s="1">
        <v>394995.84</v>
      </c>
      <c r="J167" s="1">
        <v>394995.84</v>
      </c>
      <c r="K167" s="1">
        <v>394995.84</v>
      </c>
    </row>
    <row r="168" spans="1:11" x14ac:dyDescent="0.25">
      <c r="A168">
        <v>2026</v>
      </c>
      <c r="B168">
        <v>2</v>
      </c>
      <c r="C168" t="s">
        <v>230</v>
      </c>
      <c r="D168" t="s">
        <v>131</v>
      </c>
      <c r="E168" t="s">
        <v>132</v>
      </c>
      <c r="F168" t="s">
        <v>139</v>
      </c>
      <c r="G168" t="s">
        <v>136</v>
      </c>
      <c r="H168" t="s">
        <v>56</v>
      </c>
      <c r="I168" s="1">
        <v>310183.03000000003</v>
      </c>
      <c r="J168" s="1">
        <v>310183.03000000003</v>
      </c>
      <c r="K168" s="1">
        <v>310183.03000000003</v>
      </c>
    </row>
    <row r="169" spans="1:11" x14ac:dyDescent="0.25">
      <c r="A169">
        <v>2026</v>
      </c>
      <c r="B169">
        <v>2</v>
      </c>
      <c r="C169" t="s">
        <v>231</v>
      </c>
      <c r="D169" t="s">
        <v>131</v>
      </c>
      <c r="E169" t="s">
        <v>132</v>
      </c>
      <c r="F169" t="s">
        <v>139</v>
      </c>
      <c r="G169" t="s">
        <v>136</v>
      </c>
      <c r="H169" t="s">
        <v>56</v>
      </c>
      <c r="I169" s="1">
        <v>3467424.69</v>
      </c>
      <c r="J169" s="1">
        <v>3467424.69</v>
      </c>
      <c r="K169" s="1">
        <v>3467424.69</v>
      </c>
    </row>
    <row r="170" spans="1:11" x14ac:dyDescent="0.25">
      <c r="A170">
        <v>2026</v>
      </c>
      <c r="B170">
        <v>2</v>
      </c>
      <c r="C170" t="s">
        <v>232</v>
      </c>
      <c r="D170" t="s">
        <v>131</v>
      </c>
      <c r="E170" t="s">
        <v>132</v>
      </c>
      <c r="F170" t="s">
        <v>142</v>
      </c>
      <c r="G170" t="s">
        <v>136</v>
      </c>
      <c r="H170" t="s">
        <v>56</v>
      </c>
      <c r="I170" s="1">
        <v>72912.350000000006</v>
      </c>
      <c r="J170" s="1">
        <v>72912.350000000006</v>
      </c>
      <c r="K170" s="1">
        <v>72912.350000000006</v>
      </c>
    </row>
    <row r="171" spans="1:11" x14ac:dyDescent="0.25">
      <c r="A171">
        <v>2026</v>
      </c>
      <c r="B171">
        <v>2</v>
      </c>
      <c r="C171" t="s">
        <v>233</v>
      </c>
      <c r="D171" t="s">
        <v>131</v>
      </c>
      <c r="E171" t="s">
        <v>132</v>
      </c>
      <c r="F171" t="s">
        <v>139</v>
      </c>
      <c r="G171" t="s">
        <v>98</v>
      </c>
      <c r="H171" t="s">
        <v>56</v>
      </c>
      <c r="I171">
        <v>0</v>
      </c>
      <c r="J171" s="1">
        <v>256001.41</v>
      </c>
      <c r="K171" s="1">
        <v>1627231.92</v>
      </c>
    </row>
    <row r="172" spans="1:11" x14ac:dyDescent="0.25">
      <c r="A172">
        <v>2026</v>
      </c>
      <c r="B172">
        <v>2</v>
      </c>
      <c r="C172" t="s">
        <v>234</v>
      </c>
      <c r="D172" t="s">
        <v>131</v>
      </c>
      <c r="E172" t="s">
        <v>132</v>
      </c>
      <c r="F172" t="s">
        <v>134</v>
      </c>
      <c r="G172" t="s">
        <v>34</v>
      </c>
      <c r="H172" t="s">
        <v>151</v>
      </c>
      <c r="I172" s="1">
        <v>338466.3</v>
      </c>
      <c r="J172" s="1">
        <v>338466.3</v>
      </c>
      <c r="K172">
        <v>0</v>
      </c>
    </row>
    <row r="173" spans="1:11" x14ac:dyDescent="0.25">
      <c r="A173">
        <v>2026</v>
      </c>
      <c r="B173">
        <v>2</v>
      </c>
      <c r="C173" t="s">
        <v>235</v>
      </c>
      <c r="D173" t="s">
        <v>236</v>
      </c>
      <c r="E173" t="s">
        <v>41</v>
      </c>
      <c r="F173" t="s">
        <v>237</v>
      </c>
      <c r="G173" t="s">
        <v>15</v>
      </c>
      <c r="H173" t="s">
        <v>16</v>
      </c>
      <c r="I173" s="1">
        <v>566690.36</v>
      </c>
      <c r="J173" s="1">
        <v>566690.36</v>
      </c>
      <c r="K173" s="1">
        <v>566690.36</v>
      </c>
    </row>
    <row r="174" spans="1:11" x14ac:dyDescent="0.25">
      <c r="A174">
        <v>2026</v>
      </c>
      <c r="B174">
        <v>2</v>
      </c>
      <c r="C174" t="s">
        <v>238</v>
      </c>
      <c r="D174" t="s">
        <v>236</v>
      </c>
      <c r="E174" t="s">
        <v>41</v>
      </c>
      <c r="F174" t="s">
        <v>237</v>
      </c>
      <c r="G174" t="s">
        <v>98</v>
      </c>
      <c r="H174" t="s">
        <v>16</v>
      </c>
      <c r="I174">
        <v>0</v>
      </c>
      <c r="J174" s="1">
        <v>190931.94</v>
      </c>
      <c r="K174" s="1">
        <v>48861.97</v>
      </c>
    </row>
    <row r="175" spans="1:11" x14ac:dyDescent="0.25">
      <c r="A175">
        <v>2026</v>
      </c>
      <c r="B175">
        <v>2</v>
      </c>
      <c r="C175" t="s">
        <v>239</v>
      </c>
      <c r="D175" t="s">
        <v>236</v>
      </c>
      <c r="E175" t="s">
        <v>41</v>
      </c>
      <c r="F175" t="s">
        <v>237</v>
      </c>
      <c r="G175" t="s">
        <v>20</v>
      </c>
      <c r="H175" t="s">
        <v>16</v>
      </c>
      <c r="I175">
        <v>0</v>
      </c>
      <c r="J175" s="1">
        <v>2147169.0699999998</v>
      </c>
      <c r="K175" s="1">
        <v>2189926.58</v>
      </c>
    </row>
    <row r="176" spans="1:11" x14ac:dyDescent="0.25">
      <c r="A176">
        <v>2026</v>
      </c>
      <c r="B176">
        <v>2</v>
      </c>
      <c r="C176" t="s">
        <v>240</v>
      </c>
      <c r="D176" t="s">
        <v>236</v>
      </c>
      <c r="E176" t="s">
        <v>41</v>
      </c>
      <c r="F176" t="s">
        <v>237</v>
      </c>
      <c r="G176" t="s">
        <v>24</v>
      </c>
      <c r="H176" t="s">
        <v>16</v>
      </c>
      <c r="I176" s="1">
        <v>199674.64</v>
      </c>
      <c r="J176" s="1">
        <v>187602.13</v>
      </c>
      <c r="K176" s="1">
        <v>37735.269999999997</v>
      </c>
    </row>
    <row r="177" spans="1:11" x14ac:dyDescent="0.25">
      <c r="A177">
        <v>2026</v>
      </c>
      <c r="B177">
        <v>2</v>
      </c>
      <c r="C177" t="s">
        <v>241</v>
      </c>
      <c r="D177" t="s">
        <v>236</v>
      </c>
      <c r="E177" t="s">
        <v>41</v>
      </c>
      <c r="F177" t="s">
        <v>237</v>
      </c>
      <c r="G177" t="s">
        <v>24</v>
      </c>
      <c r="H177" t="s">
        <v>16</v>
      </c>
      <c r="I177">
        <v>0</v>
      </c>
      <c r="J177" s="1">
        <v>1444.5</v>
      </c>
      <c r="K177" s="1">
        <v>8382.9599999999991</v>
      </c>
    </row>
    <row r="178" spans="1:11" x14ac:dyDescent="0.25">
      <c r="A178">
        <v>2026</v>
      </c>
      <c r="B178">
        <v>2</v>
      </c>
      <c r="C178" t="s">
        <v>242</v>
      </c>
      <c r="D178" t="s">
        <v>236</v>
      </c>
      <c r="E178" t="s">
        <v>41</v>
      </c>
      <c r="F178" t="s">
        <v>237</v>
      </c>
      <c r="G178" t="s">
        <v>24</v>
      </c>
      <c r="H178" t="s">
        <v>16</v>
      </c>
      <c r="I178" s="1">
        <v>69123</v>
      </c>
      <c r="J178" s="1">
        <v>78763</v>
      </c>
      <c r="K178" s="1">
        <v>10888</v>
      </c>
    </row>
    <row r="179" spans="1:11" x14ac:dyDescent="0.25">
      <c r="A179">
        <v>2026</v>
      </c>
      <c r="B179">
        <v>2</v>
      </c>
      <c r="C179" t="s">
        <v>243</v>
      </c>
      <c r="D179" t="s">
        <v>236</v>
      </c>
      <c r="E179" t="s">
        <v>41</v>
      </c>
      <c r="F179" t="s">
        <v>237</v>
      </c>
      <c r="G179" t="s">
        <v>244</v>
      </c>
      <c r="H179" t="s">
        <v>16</v>
      </c>
      <c r="I179">
        <v>0</v>
      </c>
      <c r="J179" s="1">
        <v>2397.5</v>
      </c>
      <c r="K179">
        <v>0</v>
      </c>
    </row>
    <row r="180" spans="1:11" x14ac:dyDescent="0.25">
      <c r="A180">
        <v>2026</v>
      </c>
      <c r="B180">
        <v>2</v>
      </c>
      <c r="C180" t="s">
        <v>245</v>
      </c>
      <c r="D180" t="s">
        <v>236</v>
      </c>
      <c r="E180" t="s">
        <v>41</v>
      </c>
      <c r="F180" t="s">
        <v>237</v>
      </c>
      <c r="G180" t="s">
        <v>32</v>
      </c>
      <c r="H180" t="s">
        <v>16</v>
      </c>
      <c r="I180" s="1">
        <v>10333.280000000001</v>
      </c>
      <c r="J180" s="1">
        <v>10333.280000000001</v>
      </c>
      <c r="K180" s="1">
        <v>10333.280000000001</v>
      </c>
    </row>
    <row r="181" spans="1:11" x14ac:dyDescent="0.25">
      <c r="A181">
        <v>2026</v>
      </c>
      <c r="B181">
        <v>2</v>
      </c>
      <c r="C181" t="s">
        <v>246</v>
      </c>
      <c r="D181" t="s">
        <v>236</v>
      </c>
      <c r="E181" t="s">
        <v>41</v>
      </c>
      <c r="F181" t="s">
        <v>237</v>
      </c>
      <c r="G181" t="s">
        <v>32</v>
      </c>
      <c r="H181" t="s">
        <v>16</v>
      </c>
      <c r="I181" s="1">
        <v>54048.9</v>
      </c>
      <c r="J181" s="1">
        <v>54048.9</v>
      </c>
      <c r="K181" s="1">
        <v>49701.7</v>
      </c>
    </row>
    <row r="182" spans="1:11" x14ac:dyDescent="0.25">
      <c r="A182">
        <v>2026</v>
      </c>
      <c r="B182">
        <v>2</v>
      </c>
      <c r="C182" t="s">
        <v>247</v>
      </c>
      <c r="D182" t="s">
        <v>236</v>
      </c>
      <c r="E182" t="s">
        <v>41</v>
      </c>
      <c r="F182" t="s">
        <v>237</v>
      </c>
      <c r="G182" t="s">
        <v>32</v>
      </c>
      <c r="H182" t="s">
        <v>16</v>
      </c>
      <c r="I182" s="1">
        <v>334759.65000000002</v>
      </c>
      <c r="J182" s="1">
        <v>334759.65000000002</v>
      </c>
      <c r="K182" s="1">
        <v>334759.65000000002</v>
      </c>
    </row>
    <row r="183" spans="1:11" x14ac:dyDescent="0.25">
      <c r="A183">
        <v>2026</v>
      </c>
      <c r="B183">
        <v>2</v>
      </c>
      <c r="C183" t="s">
        <v>248</v>
      </c>
      <c r="D183" t="s">
        <v>236</v>
      </c>
      <c r="E183" t="s">
        <v>41</v>
      </c>
      <c r="F183" t="s">
        <v>237</v>
      </c>
      <c r="G183" t="s">
        <v>32</v>
      </c>
      <c r="H183" t="s">
        <v>16</v>
      </c>
      <c r="I183" s="1">
        <v>26555</v>
      </c>
      <c r="J183" s="1">
        <v>26555</v>
      </c>
      <c r="K183" s="1">
        <v>18615</v>
      </c>
    </row>
    <row r="184" spans="1:11" x14ac:dyDescent="0.25">
      <c r="A184">
        <v>2026</v>
      </c>
      <c r="B184">
        <v>2</v>
      </c>
      <c r="C184" t="s">
        <v>249</v>
      </c>
      <c r="D184" t="s">
        <v>236</v>
      </c>
      <c r="E184" t="s">
        <v>41</v>
      </c>
      <c r="F184" t="s">
        <v>237</v>
      </c>
      <c r="G184" t="s">
        <v>34</v>
      </c>
      <c r="H184" t="s">
        <v>16</v>
      </c>
      <c r="I184" s="1">
        <v>264237.40000000002</v>
      </c>
      <c r="J184" s="1">
        <v>268098.73</v>
      </c>
      <c r="K184" s="1">
        <v>187995.47</v>
      </c>
    </row>
    <row r="185" spans="1:11" x14ac:dyDescent="0.25">
      <c r="A185">
        <v>2026</v>
      </c>
      <c r="B185">
        <v>2</v>
      </c>
      <c r="C185" t="s">
        <v>250</v>
      </c>
      <c r="D185" t="s">
        <v>236</v>
      </c>
      <c r="E185" t="s">
        <v>41</v>
      </c>
      <c r="F185" t="s">
        <v>237</v>
      </c>
      <c r="G185" t="s">
        <v>34</v>
      </c>
      <c r="H185" t="s">
        <v>16</v>
      </c>
      <c r="I185" s="1">
        <v>68431.929999999993</v>
      </c>
      <c r="J185" s="1">
        <v>191104.67</v>
      </c>
      <c r="K185">
        <v>0</v>
      </c>
    </row>
    <row r="186" spans="1:11" x14ac:dyDescent="0.25">
      <c r="A186">
        <v>2026</v>
      </c>
      <c r="B186">
        <v>2</v>
      </c>
      <c r="C186" t="s">
        <v>251</v>
      </c>
      <c r="D186" t="s">
        <v>236</v>
      </c>
      <c r="E186" t="s">
        <v>41</v>
      </c>
      <c r="F186" t="s">
        <v>237</v>
      </c>
      <c r="G186" t="s">
        <v>34</v>
      </c>
      <c r="H186" t="s">
        <v>16</v>
      </c>
      <c r="I186" s="1">
        <v>65351</v>
      </c>
      <c r="J186" s="1">
        <v>25271</v>
      </c>
      <c r="K186" s="1">
        <v>9490</v>
      </c>
    </row>
    <row r="187" spans="1:11" x14ac:dyDescent="0.25">
      <c r="A187">
        <v>2026</v>
      </c>
      <c r="B187">
        <v>2</v>
      </c>
      <c r="C187" t="s">
        <v>252</v>
      </c>
      <c r="D187" t="s">
        <v>236</v>
      </c>
      <c r="E187" t="s">
        <v>41</v>
      </c>
      <c r="F187" t="s">
        <v>237</v>
      </c>
      <c r="G187" t="s">
        <v>34</v>
      </c>
      <c r="H187" t="s">
        <v>16</v>
      </c>
      <c r="I187" s="1">
        <v>1115117.29</v>
      </c>
      <c r="J187" s="1">
        <v>1365117.29</v>
      </c>
      <c r="K187" s="1">
        <v>1681149.03</v>
      </c>
    </row>
    <row r="188" spans="1:11" x14ac:dyDescent="0.25">
      <c r="A188">
        <v>2026</v>
      </c>
      <c r="B188">
        <v>2</v>
      </c>
      <c r="C188" t="s">
        <v>253</v>
      </c>
      <c r="D188" t="s">
        <v>236</v>
      </c>
      <c r="E188" t="s">
        <v>41</v>
      </c>
      <c r="F188" t="s">
        <v>237</v>
      </c>
      <c r="G188" t="s">
        <v>34</v>
      </c>
      <c r="H188" t="s">
        <v>59</v>
      </c>
      <c r="I188" s="1">
        <v>690489.78</v>
      </c>
      <c r="J188">
        <v>0</v>
      </c>
      <c r="K188">
        <v>0</v>
      </c>
    </row>
    <row r="189" spans="1:11" x14ac:dyDescent="0.25">
      <c r="A189">
        <v>2026</v>
      </c>
      <c r="B189">
        <v>2</v>
      </c>
      <c r="C189" t="s">
        <v>254</v>
      </c>
      <c r="D189" t="s">
        <v>236</v>
      </c>
      <c r="E189" t="s">
        <v>41</v>
      </c>
      <c r="F189" t="s">
        <v>237</v>
      </c>
      <c r="G189" t="s">
        <v>44</v>
      </c>
      <c r="H189" t="s">
        <v>16</v>
      </c>
      <c r="I189" s="1">
        <v>765205.84</v>
      </c>
      <c r="J189" s="1">
        <v>765205.84</v>
      </c>
      <c r="K189" s="1">
        <v>584367.21</v>
      </c>
    </row>
    <row r="190" spans="1:11" x14ac:dyDescent="0.25">
      <c r="A190">
        <v>2026</v>
      </c>
      <c r="B190">
        <v>2</v>
      </c>
      <c r="C190" t="s">
        <v>255</v>
      </c>
      <c r="D190" t="s">
        <v>236</v>
      </c>
      <c r="E190" t="s">
        <v>41</v>
      </c>
      <c r="F190" t="s">
        <v>237</v>
      </c>
      <c r="G190" t="s">
        <v>44</v>
      </c>
      <c r="H190" t="s">
        <v>59</v>
      </c>
      <c r="I190" s="1">
        <v>80144.03</v>
      </c>
      <c r="J190">
        <v>0</v>
      </c>
      <c r="K190">
        <v>0</v>
      </c>
    </row>
    <row r="191" spans="1:11" x14ac:dyDescent="0.25">
      <c r="A191">
        <v>2026</v>
      </c>
      <c r="B191">
        <v>2</v>
      </c>
      <c r="C191" t="s">
        <v>256</v>
      </c>
      <c r="D191" t="s">
        <v>236</v>
      </c>
      <c r="E191" t="s">
        <v>41</v>
      </c>
      <c r="F191" t="s">
        <v>237</v>
      </c>
      <c r="G191" t="s">
        <v>46</v>
      </c>
      <c r="H191" t="s">
        <v>16</v>
      </c>
      <c r="I191" s="1">
        <v>1200.74</v>
      </c>
      <c r="J191" s="1">
        <v>1200.74</v>
      </c>
      <c r="K191" s="1">
        <v>56601.63</v>
      </c>
    </row>
    <row r="192" spans="1:11" x14ac:dyDescent="0.25">
      <c r="A192">
        <v>2026</v>
      </c>
      <c r="B192">
        <v>2</v>
      </c>
      <c r="C192" t="s">
        <v>257</v>
      </c>
      <c r="D192" t="s">
        <v>236</v>
      </c>
      <c r="E192" t="s">
        <v>41</v>
      </c>
      <c r="F192" t="s">
        <v>237</v>
      </c>
      <c r="G192" t="s">
        <v>46</v>
      </c>
      <c r="H192" t="s">
        <v>16</v>
      </c>
      <c r="I192">
        <v>0</v>
      </c>
      <c r="J192">
        <v>0</v>
      </c>
      <c r="K192" s="1">
        <v>41373.21</v>
      </c>
    </row>
    <row r="193" spans="1:11" x14ac:dyDescent="0.25">
      <c r="A193">
        <v>2026</v>
      </c>
      <c r="B193">
        <v>2</v>
      </c>
      <c r="C193" t="s">
        <v>258</v>
      </c>
      <c r="D193" t="s">
        <v>236</v>
      </c>
      <c r="E193" t="s">
        <v>41</v>
      </c>
      <c r="F193" t="s">
        <v>237</v>
      </c>
      <c r="G193" t="s">
        <v>46</v>
      </c>
      <c r="H193" t="s">
        <v>16</v>
      </c>
      <c r="I193">
        <v>0</v>
      </c>
      <c r="J193">
        <v>0</v>
      </c>
      <c r="K193" s="1">
        <v>1728</v>
      </c>
    </row>
    <row r="194" spans="1:11" x14ac:dyDescent="0.25">
      <c r="A194">
        <v>2026</v>
      </c>
      <c r="B194">
        <v>2</v>
      </c>
      <c r="C194" t="s">
        <v>259</v>
      </c>
      <c r="D194" t="s">
        <v>236</v>
      </c>
      <c r="E194" t="s">
        <v>41</v>
      </c>
      <c r="F194" t="s">
        <v>237</v>
      </c>
      <c r="G194" t="s">
        <v>46</v>
      </c>
      <c r="H194" t="s">
        <v>16</v>
      </c>
      <c r="I194">
        <v>0</v>
      </c>
      <c r="J194">
        <v>0</v>
      </c>
      <c r="K194" s="1">
        <v>70548.22</v>
      </c>
    </row>
    <row r="195" spans="1:11" x14ac:dyDescent="0.25">
      <c r="A195">
        <v>2026</v>
      </c>
      <c r="B195">
        <v>2</v>
      </c>
      <c r="C195" t="s">
        <v>260</v>
      </c>
      <c r="D195" t="s">
        <v>236</v>
      </c>
      <c r="E195" t="s">
        <v>41</v>
      </c>
      <c r="F195" t="s">
        <v>237</v>
      </c>
      <c r="G195" t="s">
        <v>49</v>
      </c>
      <c r="H195" t="s">
        <v>16</v>
      </c>
      <c r="I195" s="1">
        <v>14851.8</v>
      </c>
      <c r="J195" s="1">
        <v>45447.6</v>
      </c>
      <c r="K195" s="1">
        <v>66624.02</v>
      </c>
    </row>
    <row r="196" spans="1:11" x14ac:dyDescent="0.25">
      <c r="A196">
        <v>2026</v>
      </c>
      <c r="B196">
        <v>2</v>
      </c>
      <c r="C196" t="s">
        <v>261</v>
      </c>
      <c r="D196" t="s">
        <v>262</v>
      </c>
      <c r="E196" t="s">
        <v>263</v>
      </c>
      <c r="F196" t="s">
        <v>264</v>
      </c>
      <c r="G196" t="s">
        <v>15</v>
      </c>
      <c r="H196" t="s">
        <v>16</v>
      </c>
      <c r="I196" s="1">
        <v>890758.7</v>
      </c>
      <c r="J196" s="1">
        <v>890758.7</v>
      </c>
      <c r="K196" s="1">
        <v>890758.7</v>
      </c>
    </row>
    <row r="197" spans="1:11" x14ac:dyDescent="0.25">
      <c r="A197">
        <v>2026</v>
      </c>
      <c r="B197">
        <v>2</v>
      </c>
      <c r="C197" t="s">
        <v>265</v>
      </c>
      <c r="D197" t="s">
        <v>262</v>
      </c>
      <c r="E197" t="s">
        <v>263</v>
      </c>
      <c r="F197" t="s">
        <v>264</v>
      </c>
      <c r="G197" t="s">
        <v>98</v>
      </c>
      <c r="H197" t="s">
        <v>16</v>
      </c>
      <c r="I197" s="1">
        <v>-2129638.35</v>
      </c>
      <c r="J197" s="1">
        <v>2925457.17</v>
      </c>
      <c r="K197" s="1">
        <v>2857304.74</v>
      </c>
    </row>
    <row r="198" spans="1:11" x14ac:dyDescent="0.25">
      <c r="A198">
        <v>2026</v>
      </c>
      <c r="B198">
        <v>2</v>
      </c>
      <c r="C198" t="s">
        <v>266</v>
      </c>
      <c r="D198" t="s">
        <v>262</v>
      </c>
      <c r="E198" t="s">
        <v>263</v>
      </c>
      <c r="F198" t="s">
        <v>264</v>
      </c>
      <c r="G198" t="s">
        <v>98</v>
      </c>
      <c r="H198" t="s">
        <v>151</v>
      </c>
      <c r="I198" s="1">
        <v>1906000</v>
      </c>
      <c r="J198">
        <v>0</v>
      </c>
      <c r="K198">
        <v>0</v>
      </c>
    </row>
    <row r="199" spans="1:11" x14ac:dyDescent="0.25">
      <c r="A199">
        <v>2026</v>
      </c>
      <c r="B199">
        <v>2</v>
      </c>
      <c r="C199" t="s">
        <v>267</v>
      </c>
      <c r="D199" t="s">
        <v>262</v>
      </c>
      <c r="E199" t="s">
        <v>263</v>
      </c>
      <c r="F199" t="s">
        <v>264</v>
      </c>
      <c r="G199" t="s">
        <v>98</v>
      </c>
      <c r="H199" t="s">
        <v>16</v>
      </c>
      <c r="I199" s="1">
        <v>103858.32</v>
      </c>
      <c r="J199" s="1">
        <v>6332898.0499999998</v>
      </c>
      <c r="K199" s="1">
        <v>3435175.96</v>
      </c>
    </row>
    <row r="200" spans="1:11" x14ac:dyDescent="0.25">
      <c r="A200">
        <v>2026</v>
      </c>
      <c r="B200">
        <v>2</v>
      </c>
      <c r="C200" t="s">
        <v>268</v>
      </c>
      <c r="D200" t="s">
        <v>262</v>
      </c>
      <c r="E200" t="s">
        <v>263</v>
      </c>
      <c r="F200" t="s">
        <v>264</v>
      </c>
      <c r="G200" t="s">
        <v>98</v>
      </c>
      <c r="H200" t="s">
        <v>59</v>
      </c>
      <c r="I200" s="1">
        <v>392715.84</v>
      </c>
      <c r="J200">
        <v>0</v>
      </c>
      <c r="K200" s="1">
        <v>107284.16</v>
      </c>
    </row>
    <row r="201" spans="1:11" x14ac:dyDescent="0.25">
      <c r="A201">
        <v>2026</v>
      </c>
      <c r="B201">
        <v>2</v>
      </c>
      <c r="C201" t="s">
        <v>269</v>
      </c>
      <c r="D201" t="s">
        <v>262</v>
      </c>
      <c r="E201" t="s">
        <v>263</v>
      </c>
      <c r="F201" t="s">
        <v>264</v>
      </c>
      <c r="G201" t="s">
        <v>98</v>
      </c>
      <c r="H201" t="s">
        <v>59</v>
      </c>
      <c r="I201">
        <v>0</v>
      </c>
      <c r="J201" s="1">
        <v>37098.25</v>
      </c>
      <c r="K201" s="1">
        <v>37098.25</v>
      </c>
    </row>
    <row r="202" spans="1:11" x14ac:dyDescent="0.25">
      <c r="A202">
        <v>2026</v>
      </c>
      <c r="B202">
        <v>2</v>
      </c>
      <c r="C202" t="s">
        <v>270</v>
      </c>
      <c r="D202" t="s">
        <v>262</v>
      </c>
      <c r="E202" t="s">
        <v>263</v>
      </c>
      <c r="F202" t="s">
        <v>264</v>
      </c>
      <c r="G202" t="s">
        <v>46</v>
      </c>
      <c r="H202" t="s">
        <v>16</v>
      </c>
      <c r="I202">
        <v>0</v>
      </c>
      <c r="J202">
        <v>0</v>
      </c>
      <c r="K202" s="1">
        <v>51043.98</v>
      </c>
    </row>
    <row r="203" spans="1:11" x14ac:dyDescent="0.25">
      <c r="A203">
        <v>2026</v>
      </c>
      <c r="B203">
        <v>2</v>
      </c>
      <c r="C203" t="s">
        <v>271</v>
      </c>
      <c r="D203" t="s">
        <v>262</v>
      </c>
      <c r="E203" t="s">
        <v>263</v>
      </c>
      <c r="F203" t="s">
        <v>264</v>
      </c>
      <c r="G203" t="s">
        <v>24</v>
      </c>
      <c r="H203" t="s">
        <v>16</v>
      </c>
      <c r="I203" s="1">
        <v>3000</v>
      </c>
      <c r="J203" s="1">
        <v>3000</v>
      </c>
      <c r="K203" s="1">
        <v>6000</v>
      </c>
    </row>
    <row r="204" spans="1:11" x14ac:dyDescent="0.25">
      <c r="A204">
        <v>2026</v>
      </c>
      <c r="B204">
        <v>2</v>
      </c>
      <c r="C204" t="s">
        <v>272</v>
      </c>
      <c r="D204" t="s">
        <v>262</v>
      </c>
      <c r="E204" t="s">
        <v>263</v>
      </c>
      <c r="F204" t="s">
        <v>264</v>
      </c>
      <c r="G204" t="s">
        <v>24</v>
      </c>
      <c r="H204" t="s">
        <v>16</v>
      </c>
      <c r="I204" s="1">
        <v>13425</v>
      </c>
      <c r="J204" s="1">
        <v>13425</v>
      </c>
      <c r="K204">
        <v>0</v>
      </c>
    </row>
    <row r="205" spans="1:11" x14ac:dyDescent="0.25">
      <c r="A205">
        <v>2026</v>
      </c>
      <c r="B205">
        <v>2</v>
      </c>
      <c r="C205" t="s">
        <v>273</v>
      </c>
      <c r="D205" t="s">
        <v>262</v>
      </c>
      <c r="E205" t="s">
        <v>263</v>
      </c>
      <c r="F205" t="s">
        <v>264</v>
      </c>
      <c r="G205" t="s">
        <v>24</v>
      </c>
      <c r="H205" t="s">
        <v>16</v>
      </c>
      <c r="I205" s="1">
        <v>6593.6</v>
      </c>
      <c r="J205" s="1">
        <v>20002.400000000001</v>
      </c>
      <c r="K205">
        <v>160</v>
      </c>
    </row>
    <row r="206" spans="1:11" x14ac:dyDescent="0.25">
      <c r="A206">
        <v>2026</v>
      </c>
      <c r="B206">
        <v>2</v>
      </c>
      <c r="C206" t="s">
        <v>274</v>
      </c>
      <c r="D206" t="s">
        <v>262</v>
      </c>
      <c r="E206" t="s">
        <v>263</v>
      </c>
      <c r="F206" t="s">
        <v>264</v>
      </c>
      <c r="G206" t="s">
        <v>275</v>
      </c>
      <c r="H206" t="s">
        <v>16</v>
      </c>
      <c r="I206">
        <v>0</v>
      </c>
      <c r="J206" s="1">
        <v>35000</v>
      </c>
      <c r="K206" s="1">
        <v>35000</v>
      </c>
    </row>
    <row r="207" spans="1:11" x14ac:dyDescent="0.25">
      <c r="A207">
        <v>2026</v>
      </c>
      <c r="B207">
        <v>2</v>
      </c>
      <c r="C207" t="s">
        <v>276</v>
      </c>
      <c r="D207" t="s">
        <v>262</v>
      </c>
      <c r="E207" t="s">
        <v>263</v>
      </c>
      <c r="F207" t="s">
        <v>264</v>
      </c>
      <c r="G207" t="s">
        <v>32</v>
      </c>
      <c r="H207" t="s">
        <v>16</v>
      </c>
      <c r="I207" s="1">
        <v>9980.73</v>
      </c>
      <c r="J207" s="1">
        <v>9980.73</v>
      </c>
      <c r="K207" s="1">
        <v>9980.73</v>
      </c>
    </row>
    <row r="208" spans="1:11" x14ac:dyDescent="0.25">
      <c r="A208">
        <v>2026</v>
      </c>
      <c r="B208">
        <v>2</v>
      </c>
      <c r="C208" t="s">
        <v>277</v>
      </c>
      <c r="D208" t="s">
        <v>262</v>
      </c>
      <c r="E208" t="s">
        <v>263</v>
      </c>
      <c r="F208" t="s">
        <v>264</v>
      </c>
      <c r="G208" t="s">
        <v>32</v>
      </c>
      <c r="H208" t="s">
        <v>151</v>
      </c>
      <c r="I208">
        <v>0</v>
      </c>
      <c r="J208" s="1">
        <v>12434.38</v>
      </c>
      <c r="K208" s="1">
        <v>12434.38</v>
      </c>
    </row>
    <row r="209" spans="1:11" x14ac:dyDescent="0.25">
      <c r="A209">
        <v>2026</v>
      </c>
      <c r="B209">
        <v>2</v>
      </c>
      <c r="C209" t="s">
        <v>278</v>
      </c>
      <c r="D209" t="s">
        <v>262</v>
      </c>
      <c r="E209" t="s">
        <v>263</v>
      </c>
      <c r="F209" t="s">
        <v>264</v>
      </c>
      <c r="G209" t="s">
        <v>32</v>
      </c>
      <c r="H209" t="s">
        <v>151</v>
      </c>
      <c r="I209">
        <v>0</v>
      </c>
      <c r="J209" s="1">
        <v>4824.3999999999996</v>
      </c>
      <c r="K209" s="1">
        <v>4824.3999999999996</v>
      </c>
    </row>
    <row r="210" spans="1:11" x14ac:dyDescent="0.25">
      <c r="A210">
        <v>2026</v>
      </c>
      <c r="B210">
        <v>2</v>
      </c>
      <c r="C210" t="s">
        <v>279</v>
      </c>
      <c r="D210" t="s">
        <v>262</v>
      </c>
      <c r="E210" t="s">
        <v>263</v>
      </c>
      <c r="F210" t="s">
        <v>264</v>
      </c>
      <c r="G210" t="s">
        <v>32</v>
      </c>
      <c r="H210" t="s">
        <v>16</v>
      </c>
      <c r="I210" s="1">
        <v>456653.59</v>
      </c>
      <c r="J210" s="1">
        <v>322508.5</v>
      </c>
      <c r="K210" s="1">
        <v>187256.48</v>
      </c>
    </row>
    <row r="211" spans="1:11" x14ac:dyDescent="0.25">
      <c r="A211">
        <v>2026</v>
      </c>
      <c r="B211">
        <v>2</v>
      </c>
      <c r="C211" t="s">
        <v>280</v>
      </c>
      <c r="D211" t="s">
        <v>262</v>
      </c>
      <c r="E211" t="s">
        <v>263</v>
      </c>
      <c r="F211" t="s">
        <v>264</v>
      </c>
      <c r="G211" t="s">
        <v>34</v>
      </c>
      <c r="H211" t="s">
        <v>16</v>
      </c>
      <c r="I211" s="1">
        <v>1500</v>
      </c>
      <c r="J211" s="1">
        <v>1500</v>
      </c>
      <c r="K211">
        <v>0</v>
      </c>
    </row>
    <row r="212" spans="1:11" x14ac:dyDescent="0.25">
      <c r="A212">
        <v>2026</v>
      </c>
      <c r="B212">
        <v>2</v>
      </c>
      <c r="C212" t="s">
        <v>281</v>
      </c>
      <c r="D212" t="s">
        <v>262</v>
      </c>
      <c r="E212" t="s">
        <v>263</v>
      </c>
      <c r="F212" t="s">
        <v>264</v>
      </c>
      <c r="G212" t="s">
        <v>34</v>
      </c>
      <c r="H212" t="s">
        <v>151</v>
      </c>
      <c r="I212">
        <v>0</v>
      </c>
      <c r="J212" s="1">
        <v>76285.240000000005</v>
      </c>
      <c r="K212">
        <v>0</v>
      </c>
    </row>
    <row r="213" spans="1:11" x14ac:dyDescent="0.25">
      <c r="A213">
        <v>2026</v>
      </c>
      <c r="B213">
        <v>2</v>
      </c>
      <c r="C213" t="s">
        <v>282</v>
      </c>
      <c r="D213" t="s">
        <v>262</v>
      </c>
      <c r="E213" t="s">
        <v>263</v>
      </c>
      <c r="F213" t="s">
        <v>264</v>
      </c>
      <c r="G213" t="s">
        <v>34</v>
      </c>
      <c r="H213" t="s">
        <v>16</v>
      </c>
      <c r="I213" s="1">
        <v>338152.7</v>
      </c>
      <c r="J213" s="1">
        <v>510737.95</v>
      </c>
      <c r="K213" s="1">
        <v>384036.77</v>
      </c>
    </row>
    <row r="214" spans="1:11" x14ac:dyDescent="0.25">
      <c r="A214">
        <v>2026</v>
      </c>
      <c r="B214">
        <v>2</v>
      </c>
      <c r="C214" t="s">
        <v>283</v>
      </c>
      <c r="D214" t="s">
        <v>262</v>
      </c>
      <c r="E214" t="s">
        <v>263</v>
      </c>
      <c r="F214" t="s">
        <v>264</v>
      </c>
      <c r="G214" t="s">
        <v>34</v>
      </c>
      <c r="H214" t="s">
        <v>16</v>
      </c>
      <c r="I214" s="1">
        <v>56503.65</v>
      </c>
      <c r="J214" s="1">
        <v>77929.509999999995</v>
      </c>
      <c r="K214" s="1">
        <v>23468.42</v>
      </c>
    </row>
    <row r="215" spans="1:11" x14ac:dyDescent="0.25">
      <c r="A215">
        <v>2026</v>
      </c>
      <c r="B215">
        <v>2</v>
      </c>
      <c r="C215" t="s">
        <v>284</v>
      </c>
      <c r="D215" t="s">
        <v>262</v>
      </c>
      <c r="E215" t="s">
        <v>263</v>
      </c>
      <c r="F215" t="s">
        <v>264</v>
      </c>
      <c r="G215" t="s">
        <v>70</v>
      </c>
      <c r="H215" t="s">
        <v>16</v>
      </c>
      <c r="I215" s="1">
        <v>1733.34</v>
      </c>
      <c r="J215" s="1">
        <v>27583.34</v>
      </c>
      <c r="K215">
        <v>433.34</v>
      </c>
    </row>
    <row r="216" spans="1:11" x14ac:dyDescent="0.25">
      <c r="A216">
        <v>2026</v>
      </c>
      <c r="B216">
        <v>2</v>
      </c>
      <c r="C216" t="s">
        <v>285</v>
      </c>
      <c r="D216" t="s">
        <v>262</v>
      </c>
      <c r="E216" t="s">
        <v>263</v>
      </c>
      <c r="F216" t="s">
        <v>264</v>
      </c>
      <c r="G216" t="s">
        <v>44</v>
      </c>
      <c r="H216" t="s">
        <v>16</v>
      </c>
      <c r="I216" s="1">
        <v>422000</v>
      </c>
      <c r="J216" s="1">
        <v>422000</v>
      </c>
      <c r="K216" s="1">
        <v>425500</v>
      </c>
    </row>
    <row r="217" spans="1:11" x14ac:dyDescent="0.25">
      <c r="A217">
        <v>2026</v>
      </c>
      <c r="B217">
        <v>2</v>
      </c>
      <c r="C217" t="s">
        <v>286</v>
      </c>
      <c r="D217" t="s">
        <v>262</v>
      </c>
      <c r="E217" t="s">
        <v>263</v>
      </c>
      <c r="F217" t="s">
        <v>264</v>
      </c>
      <c r="G217" t="s">
        <v>44</v>
      </c>
      <c r="H217" t="s">
        <v>56</v>
      </c>
      <c r="I217" s="1">
        <v>12300</v>
      </c>
      <c r="J217" s="1">
        <v>12300</v>
      </c>
      <c r="K217" s="1">
        <v>12300</v>
      </c>
    </row>
    <row r="218" spans="1:11" x14ac:dyDescent="0.25">
      <c r="A218">
        <v>2026</v>
      </c>
      <c r="B218">
        <v>2</v>
      </c>
      <c r="C218" t="s">
        <v>287</v>
      </c>
      <c r="D218" t="s">
        <v>262</v>
      </c>
      <c r="E218" t="s">
        <v>263</v>
      </c>
      <c r="F218" t="s">
        <v>264</v>
      </c>
      <c r="G218" t="s">
        <v>46</v>
      </c>
      <c r="H218" t="s">
        <v>16</v>
      </c>
      <c r="I218" s="1">
        <v>5393.39</v>
      </c>
      <c r="J218" s="1">
        <v>5393.39</v>
      </c>
      <c r="K218" s="1">
        <v>174294.64</v>
      </c>
    </row>
    <row r="219" spans="1:11" x14ac:dyDescent="0.25">
      <c r="A219">
        <v>2026</v>
      </c>
      <c r="B219">
        <v>2</v>
      </c>
      <c r="C219" t="s">
        <v>288</v>
      </c>
      <c r="D219" t="s">
        <v>262</v>
      </c>
      <c r="E219" t="s">
        <v>263</v>
      </c>
      <c r="F219" t="s">
        <v>264</v>
      </c>
      <c r="G219" t="s">
        <v>49</v>
      </c>
      <c r="H219" t="s">
        <v>27</v>
      </c>
      <c r="I219" s="1">
        <v>8670</v>
      </c>
      <c r="J219" s="1">
        <v>8670</v>
      </c>
      <c r="K219">
        <v>0</v>
      </c>
    </row>
    <row r="220" spans="1:11" x14ac:dyDescent="0.25">
      <c r="A220">
        <v>2026</v>
      </c>
      <c r="B220">
        <v>2</v>
      </c>
      <c r="C220" t="s">
        <v>289</v>
      </c>
      <c r="D220" t="s">
        <v>262</v>
      </c>
      <c r="E220" t="s">
        <v>263</v>
      </c>
      <c r="F220" t="s">
        <v>264</v>
      </c>
      <c r="G220" t="s">
        <v>49</v>
      </c>
      <c r="H220" t="s">
        <v>16</v>
      </c>
      <c r="I220" s="1">
        <v>43050</v>
      </c>
      <c r="J220" s="1">
        <v>43050</v>
      </c>
      <c r="K220">
        <v>0</v>
      </c>
    </row>
    <row r="221" spans="1:11" x14ac:dyDescent="0.25">
      <c r="A221">
        <v>2026</v>
      </c>
      <c r="B221">
        <v>2</v>
      </c>
      <c r="C221" t="s">
        <v>290</v>
      </c>
      <c r="D221" t="s">
        <v>291</v>
      </c>
      <c r="E221" t="s">
        <v>13</v>
      </c>
      <c r="F221" t="s">
        <v>292</v>
      </c>
      <c r="G221" t="s">
        <v>15</v>
      </c>
      <c r="H221" t="s">
        <v>16</v>
      </c>
      <c r="I221" s="1">
        <v>1702278.18</v>
      </c>
      <c r="J221" s="1">
        <v>1702278.18</v>
      </c>
      <c r="K221" s="1">
        <v>1702278.18</v>
      </c>
    </row>
    <row r="222" spans="1:11" x14ac:dyDescent="0.25">
      <c r="A222">
        <v>2026</v>
      </c>
      <c r="B222">
        <v>2</v>
      </c>
      <c r="C222" t="s">
        <v>293</v>
      </c>
      <c r="D222" t="s">
        <v>291</v>
      </c>
      <c r="E222" t="s">
        <v>294</v>
      </c>
      <c r="F222" t="s">
        <v>295</v>
      </c>
      <c r="G222" t="s">
        <v>98</v>
      </c>
      <c r="H222" t="s">
        <v>16</v>
      </c>
      <c r="I222">
        <v>0</v>
      </c>
      <c r="J222" s="1">
        <v>31903.21</v>
      </c>
      <c r="K222" s="1">
        <v>31903.21</v>
      </c>
    </row>
    <row r="223" spans="1:11" x14ac:dyDescent="0.25">
      <c r="A223">
        <v>2026</v>
      </c>
      <c r="B223">
        <v>2</v>
      </c>
      <c r="C223" t="s">
        <v>296</v>
      </c>
      <c r="D223" t="s">
        <v>291</v>
      </c>
      <c r="E223" t="s">
        <v>13</v>
      </c>
      <c r="F223" t="s">
        <v>292</v>
      </c>
      <c r="G223" t="s">
        <v>24</v>
      </c>
      <c r="H223" t="s">
        <v>16</v>
      </c>
      <c r="I223">
        <v>0</v>
      </c>
      <c r="J223">
        <v>0</v>
      </c>
      <c r="K223">
        <v>139</v>
      </c>
    </row>
    <row r="224" spans="1:11" x14ac:dyDescent="0.25">
      <c r="A224">
        <v>2026</v>
      </c>
      <c r="B224">
        <v>2</v>
      </c>
      <c r="C224" t="s">
        <v>297</v>
      </c>
      <c r="D224" t="s">
        <v>291</v>
      </c>
      <c r="E224" t="s">
        <v>13</v>
      </c>
      <c r="F224" t="s">
        <v>292</v>
      </c>
      <c r="G224" t="s">
        <v>24</v>
      </c>
      <c r="H224" t="s">
        <v>16</v>
      </c>
      <c r="I224" s="1">
        <v>30695</v>
      </c>
      <c r="J224" s="1">
        <v>253810.3</v>
      </c>
      <c r="K224" s="1">
        <v>334043.52000000002</v>
      </c>
    </row>
    <row r="225" spans="1:11" x14ac:dyDescent="0.25">
      <c r="A225">
        <v>2026</v>
      </c>
      <c r="B225">
        <v>2</v>
      </c>
      <c r="C225" t="s">
        <v>298</v>
      </c>
      <c r="D225" t="s">
        <v>291</v>
      </c>
      <c r="E225" t="s">
        <v>93</v>
      </c>
      <c r="F225" t="s">
        <v>292</v>
      </c>
      <c r="G225" t="s">
        <v>24</v>
      </c>
      <c r="H225" t="s">
        <v>16</v>
      </c>
      <c r="I225" s="1">
        <v>-140228.4</v>
      </c>
      <c r="J225" s="1">
        <v>191587.64</v>
      </c>
      <c r="K225" s="1">
        <v>298628.21000000002</v>
      </c>
    </row>
    <row r="226" spans="1:11" x14ac:dyDescent="0.25">
      <c r="A226">
        <v>2026</v>
      </c>
      <c r="B226">
        <v>2</v>
      </c>
      <c r="C226" t="s">
        <v>299</v>
      </c>
      <c r="D226" t="s">
        <v>291</v>
      </c>
      <c r="E226" t="s">
        <v>294</v>
      </c>
      <c r="F226" t="s">
        <v>295</v>
      </c>
      <c r="G226" t="s">
        <v>24</v>
      </c>
      <c r="H226" t="s">
        <v>16</v>
      </c>
      <c r="I226" s="1">
        <v>15980</v>
      </c>
      <c r="J226" s="1">
        <v>3360</v>
      </c>
      <c r="K226" s="1">
        <v>411520</v>
      </c>
    </row>
    <row r="227" spans="1:11" x14ac:dyDescent="0.25">
      <c r="A227">
        <v>2026</v>
      </c>
      <c r="B227">
        <v>2</v>
      </c>
      <c r="C227" t="s">
        <v>300</v>
      </c>
      <c r="D227" t="s">
        <v>291</v>
      </c>
      <c r="E227" t="s">
        <v>13</v>
      </c>
      <c r="F227" t="s">
        <v>292</v>
      </c>
      <c r="G227" t="s">
        <v>32</v>
      </c>
      <c r="H227" t="s">
        <v>16</v>
      </c>
      <c r="I227" s="1">
        <v>2914.08</v>
      </c>
      <c r="J227" s="1">
        <v>2914.08</v>
      </c>
      <c r="K227" s="1">
        <v>2914.08</v>
      </c>
    </row>
    <row r="228" spans="1:11" x14ac:dyDescent="0.25">
      <c r="A228">
        <v>2026</v>
      </c>
      <c r="B228">
        <v>2</v>
      </c>
      <c r="C228" t="s">
        <v>301</v>
      </c>
      <c r="D228" t="s">
        <v>291</v>
      </c>
      <c r="E228" t="s">
        <v>13</v>
      </c>
      <c r="F228" t="s">
        <v>292</v>
      </c>
      <c r="G228" t="s">
        <v>34</v>
      </c>
      <c r="H228" t="s">
        <v>16</v>
      </c>
      <c r="I228" s="1">
        <v>23073.78</v>
      </c>
      <c r="J228">
        <v>0</v>
      </c>
      <c r="K228">
        <v>0</v>
      </c>
    </row>
    <row r="229" spans="1:11" x14ac:dyDescent="0.25">
      <c r="A229">
        <v>2026</v>
      </c>
      <c r="B229">
        <v>2</v>
      </c>
      <c r="C229" t="s">
        <v>302</v>
      </c>
      <c r="D229" t="s">
        <v>291</v>
      </c>
      <c r="E229" t="s">
        <v>93</v>
      </c>
      <c r="F229" t="s">
        <v>116</v>
      </c>
      <c r="G229" t="s">
        <v>34</v>
      </c>
      <c r="H229" t="s">
        <v>59</v>
      </c>
      <c r="I229">
        <v>0</v>
      </c>
      <c r="J229" s="1">
        <v>1642995.3</v>
      </c>
      <c r="K229" s="1">
        <v>1494117.36</v>
      </c>
    </row>
    <row r="230" spans="1:11" x14ac:dyDescent="0.25">
      <c r="A230">
        <v>2026</v>
      </c>
      <c r="B230">
        <v>2</v>
      </c>
      <c r="C230" t="s">
        <v>303</v>
      </c>
      <c r="D230" t="s">
        <v>291</v>
      </c>
      <c r="E230" t="s">
        <v>93</v>
      </c>
      <c r="F230" t="s">
        <v>292</v>
      </c>
      <c r="G230" t="s">
        <v>34</v>
      </c>
      <c r="H230" t="s">
        <v>16</v>
      </c>
      <c r="I230" s="1">
        <v>288851.67</v>
      </c>
      <c r="J230" s="1">
        <v>6401923.0800000001</v>
      </c>
      <c r="K230" s="1">
        <v>4160558.9</v>
      </c>
    </row>
    <row r="231" spans="1:11" x14ac:dyDescent="0.25">
      <c r="A231">
        <v>2026</v>
      </c>
      <c r="B231">
        <v>2</v>
      </c>
      <c r="C231" t="s">
        <v>304</v>
      </c>
      <c r="D231" t="s">
        <v>291</v>
      </c>
      <c r="E231" t="s">
        <v>294</v>
      </c>
      <c r="F231" t="s">
        <v>295</v>
      </c>
      <c r="G231" t="s">
        <v>34</v>
      </c>
      <c r="H231" t="s">
        <v>16</v>
      </c>
      <c r="I231" s="1">
        <v>18272659.59</v>
      </c>
      <c r="J231" s="1">
        <v>15973181.99</v>
      </c>
      <c r="K231" s="1">
        <v>16522624.789999999</v>
      </c>
    </row>
    <row r="232" spans="1:11" x14ac:dyDescent="0.25">
      <c r="A232">
        <v>2026</v>
      </c>
      <c r="B232">
        <v>2</v>
      </c>
      <c r="C232" t="s">
        <v>305</v>
      </c>
      <c r="D232" t="s">
        <v>291</v>
      </c>
      <c r="E232" t="s">
        <v>93</v>
      </c>
      <c r="F232" t="s">
        <v>116</v>
      </c>
      <c r="G232" t="s">
        <v>46</v>
      </c>
      <c r="H232" t="s">
        <v>59</v>
      </c>
      <c r="I232">
        <v>0</v>
      </c>
      <c r="J232" s="1">
        <v>33168.870000000003</v>
      </c>
      <c r="K232" s="1">
        <v>43092.79</v>
      </c>
    </row>
    <row r="233" spans="1:11" x14ac:dyDescent="0.25">
      <c r="A233">
        <v>2026</v>
      </c>
      <c r="B233">
        <v>2</v>
      </c>
      <c r="C233" t="s">
        <v>306</v>
      </c>
      <c r="D233" t="s">
        <v>291</v>
      </c>
      <c r="E233" t="s">
        <v>93</v>
      </c>
      <c r="F233" t="s">
        <v>292</v>
      </c>
      <c r="G233" t="s">
        <v>46</v>
      </c>
      <c r="H233" t="s">
        <v>16</v>
      </c>
      <c r="I233" s="1">
        <v>-21192.23</v>
      </c>
      <c r="J233">
        <v>0</v>
      </c>
      <c r="K233" s="1">
        <v>21192.23</v>
      </c>
    </row>
    <row r="234" spans="1:11" x14ac:dyDescent="0.25">
      <c r="A234">
        <v>2026</v>
      </c>
      <c r="B234">
        <v>2</v>
      </c>
      <c r="C234" t="s">
        <v>307</v>
      </c>
      <c r="D234" t="s">
        <v>291</v>
      </c>
      <c r="E234" t="s">
        <v>93</v>
      </c>
      <c r="F234" t="s">
        <v>116</v>
      </c>
      <c r="G234" t="s">
        <v>123</v>
      </c>
      <c r="H234" t="s">
        <v>59</v>
      </c>
      <c r="I234">
        <v>0</v>
      </c>
      <c r="J234" s="1">
        <v>84831.69</v>
      </c>
      <c r="K234" s="1">
        <v>84831.69</v>
      </c>
    </row>
    <row r="235" spans="1:11" x14ac:dyDescent="0.25">
      <c r="A235">
        <v>2026</v>
      </c>
      <c r="B235">
        <v>2</v>
      </c>
      <c r="C235" t="s">
        <v>308</v>
      </c>
      <c r="D235" t="s">
        <v>291</v>
      </c>
      <c r="E235" t="s">
        <v>93</v>
      </c>
      <c r="F235" t="s">
        <v>292</v>
      </c>
      <c r="G235" t="s">
        <v>49</v>
      </c>
      <c r="H235" t="s">
        <v>16</v>
      </c>
      <c r="I235" s="1">
        <v>13017</v>
      </c>
      <c r="J235" s="1">
        <v>4293.8</v>
      </c>
      <c r="K235">
        <v>0</v>
      </c>
    </row>
    <row r="236" spans="1:11" x14ac:dyDescent="0.25">
      <c r="A236">
        <v>2026</v>
      </c>
      <c r="B236">
        <v>2</v>
      </c>
      <c r="C236" t="s">
        <v>309</v>
      </c>
      <c r="D236" t="s">
        <v>310</v>
      </c>
      <c r="E236" t="s">
        <v>311</v>
      </c>
      <c r="F236" t="s">
        <v>14</v>
      </c>
      <c r="G236" t="s">
        <v>15</v>
      </c>
      <c r="H236" t="s">
        <v>16</v>
      </c>
      <c r="I236" s="1">
        <v>2242072.13</v>
      </c>
      <c r="J236" s="1">
        <v>2242072.13</v>
      </c>
      <c r="K236" s="1">
        <v>2247112</v>
      </c>
    </row>
    <row r="237" spans="1:11" x14ac:dyDescent="0.25">
      <c r="A237">
        <v>2026</v>
      </c>
      <c r="B237">
        <v>2</v>
      </c>
      <c r="C237" t="s">
        <v>312</v>
      </c>
      <c r="D237" t="s">
        <v>310</v>
      </c>
      <c r="E237" t="s">
        <v>311</v>
      </c>
      <c r="F237" t="s">
        <v>14</v>
      </c>
      <c r="G237" t="s">
        <v>136</v>
      </c>
      <c r="H237" t="s">
        <v>16</v>
      </c>
      <c r="I237" s="1">
        <v>98495.25</v>
      </c>
      <c r="J237" s="1">
        <v>98495.25</v>
      </c>
      <c r="K237" s="1">
        <v>98495.25</v>
      </c>
    </row>
    <row r="238" spans="1:11" x14ac:dyDescent="0.25">
      <c r="A238">
        <v>2026</v>
      </c>
      <c r="B238">
        <v>2</v>
      </c>
      <c r="C238" t="s">
        <v>313</v>
      </c>
      <c r="D238" t="s">
        <v>310</v>
      </c>
      <c r="E238" t="s">
        <v>311</v>
      </c>
      <c r="F238" t="s">
        <v>14</v>
      </c>
      <c r="G238" t="s">
        <v>219</v>
      </c>
      <c r="H238" t="s">
        <v>16</v>
      </c>
      <c r="I238" s="1">
        <v>39680.639999999999</v>
      </c>
      <c r="J238" s="1">
        <v>39680.639999999999</v>
      </c>
      <c r="K238" s="1">
        <v>39680.639999999999</v>
      </c>
    </row>
    <row r="239" spans="1:11" x14ac:dyDescent="0.25">
      <c r="A239">
        <v>2026</v>
      </c>
      <c r="B239">
        <v>2</v>
      </c>
      <c r="C239" t="s">
        <v>314</v>
      </c>
      <c r="D239" t="s">
        <v>310</v>
      </c>
      <c r="E239" t="s">
        <v>311</v>
      </c>
      <c r="F239" t="s">
        <v>14</v>
      </c>
      <c r="G239" t="s">
        <v>315</v>
      </c>
      <c r="H239" t="s">
        <v>16</v>
      </c>
      <c r="I239" s="1">
        <v>1934.85</v>
      </c>
      <c r="J239" s="1">
        <v>1934.85</v>
      </c>
      <c r="K239" s="1">
        <v>1934.85</v>
      </c>
    </row>
    <row r="240" spans="1:11" x14ac:dyDescent="0.25">
      <c r="A240">
        <v>2026</v>
      </c>
      <c r="B240">
        <v>2</v>
      </c>
      <c r="C240" t="s">
        <v>316</v>
      </c>
      <c r="D240" t="s">
        <v>310</v>
      </c>
      <c r="E240" t="s">
        <v>311</v>
      </c>
      <c r="F240" t="s">
        <v>14</v>
      </c>
      <c r="G240" t="s">
        <v>136</v>
      </c>
      <c r="H240" t="s">
        <v>16</v>
      </c>
      <c r="I240" s="1">
        <v>389988.5</v>
      </c>
      <c r="J240" s="1">
        <v>389988.5</v>
      </c>
      <c r="K240" s="1">
        <v>389988.5</v>
      </c>
    </row>
    <row r="241" spans="1:11" x14ac:dyDescent="0.25">
      <c r="A241">
        <v>2026</v>
      </c>
      <c r="B241">
        <v>2</v>
      </c>
      <c r="C241" t="s">
        <v>317</v>
      </c>
      <c r="D241" t="s">
        <v>310</v>
      </c>
      <c r="E241" t="s">
        <v>311</v>
      </c>
      <c r="F241" t="s">
        <v>14</v>
      </c>
      <c r="G241" t="s">
        <v>144</v>
      </c>
      <c r="H241" t="s">
        <v>16</v>
      </c>
      <c r="I241" s="1">
        <v>45921.04</v>
      </c>
      <c r="J241" s="1">
        <v>45921.04</v>
      </c>
      <c r="K241" s="1">
        <v>45921.04</v>
      </c>
    </row>
    <row r="242" spans="1:11" x14ac:dyDescent="0.25">
      <c r="A242">
        <v>2026</v>
      </c>
      <c r="B242">
        <v>2</v>
      </c>
      <c r="C242" t="s">
        <v>318</v>
      </c>
      <c r="D242" t="s">
        <v>310</v>
      </c>
      <c r="E242" t="s">
        <v>311</v>
      </c>
      <c r="F242" t="s">
        <v>14</v>
      </c>
      <c r="G242" t="s">
        <v>22</v>
      </c>
      <c r="H242" t="s">
        <v>16</v>
      </c>
      <c r="I242" s="1">
        <v>4860</v>
      </c>
      <c r="J242" s="1">
        <v>4860</v>
      </c>
      <c r="K242" s="1">
        <v>4860</v>
      </c>
    </row>
    <row r="243" spans="1:11" x14ac:dyDescent="0.25">
      <c r="A243">
        <v>2026</v>
      </c>
      <c r="B243">
        <v>2</v>
      </c>
      <c r="C243" t="s">
        <v>319</v>
      </c>
      <c r="D243" t="s">
        <v>310</v>
      </c>
      <c r="E243" t="s">
        <v>311</v>
      </c>
      <c r="F243" t="s">
        <v>14</v>
      </c>
      <c r="G243" t="s">
        <v>24</v>
      </c>
      <c r="H243" t="s">
        <v>16</v>
      </c>
      <c r="I243" s="1">
        <v>15057.5</v>
      </c>
      <c r="J243" s="1">
        <v>38322.92</v>
      </c>
      <c r="K243" s="1">
        <v>44517.98</v>
      </c>
    </row>
    <row r="244" spans="1:11" x14ac:dyDescent="0.25">
      <c r="A244">
        <v>2026</v>
      </c>
      <c r="B244">
        <v>2</v>
      </c>
      <c r="C244" t="s">
        <v>320</v>
      </c>
      <c r="D244" t="s">
        <v>310</v>
      </c>
      <c r="E244" t="s">
        <v>311</v>
      </c>
      <c r="F244" t="s">
        <v>14</v>
      </c>
      <c r="G244" t="s">
        <v>32</v>
      </c>
      <c r="H244" t="s">
        <v>16</v>
      </c>
      <c r="I244" s="1">
        <v>12434.26</v>
      </c>
      <c r="J244" s="1">
        <v>15234.26</v>
      </c>
      <c r="K244" s="1">
        <v>15234.26</v>
      </c>
    </row>
    <row r="245" spans="1:11" x14ac:dyDescent="0.25">
      <c r="A245">
        <v>2026</v>
      </c>
      <c r="B245">
        <v>2</v>
      </c>
      <c r="C245" t="s">
        <v>321</v>
      </c>
      <c r="D245" t="s">
        <v>310</v>
      </c>
      <c r="E245" t="s">
        <v>311</v>
      </c>
      <c r="F245" t="s">
        <v>14</v>
      </c>
      <c r="G245" t="s">
        <v>169</v>
      </c>
      <c r="H245" t="s">
        <v>16</v>
      </c>
      <c r="I245" s="1">
        <v>305000</v>
      </c>
      <c r="J245" s="1">
        <v>49907.87</v>
      </c>
      <c r="K245">
        <v>0</v>
      </c>
    </row>
    <row r="246" spans="1:11" x14ac:dyDescent="0.25">
      <c r="A246">
        <v>2026</v>
      </c>
      <c r="B246">
        <v>2</v>
      </c>
      <c r="C246" t="s">
        <v>322</v>
      </c>
      <c r="D246" t="s">
        <v>310</v>
      </c>
      <c r="E246" t="s">
        <v>311</v>
      </c>
      <c r="F246" t="s">
        <v>14</v>
      </c>
      <c r="G246" t="s">
        <v>34</v>
      </c>
      <c r="H246" t="s">
        <v>16</v>
      </c>
      <c r="I246" s="1">
        <v>479541.36</v>
      </c>
      <c r="J246" s="1">
        <v>355124.98</v>
      </c>
      <c r="K246" s="1">
        <v>44858.48</v>
      </c>
    </row>
    <row r="247" spans="1:11" x14ac:dyDescent="0.25">
      <c r="A247">
        <v>2026</v>
      </c>
      <c r="B247">
        <v>2</v>
      </c>
      <c r="C247" t="s">
        <v>323</v>
      </c>
      <c r="D247" t="s">
        <v>310</v>
      </c>
      <c r="E247" t="s">
        <v>311</v>
      </c>
      <c r="F247" t="s">
        <v>14</v>
      </c>
      <c r="G247" t="s">
        <v>34</v>
      </c>
      <c r="H247" t="s">
        <v>324</v>
      </c>
      <c r="I247">
        <v>0</v>
      </c>
      <c r="J247" s="1">
        <v>8791.25</v>
      </c>
      <c r="K247">
        <v>0</v>
      </c>
    </row>
    <row r="248" spans="1:11" x14ac:dyDescent="0.25">
      <c r="A248">
        <v>2026</v>
      </c>
      <c r="B248">
        <v>2</v>
      </c>
      <c r="C248" t="s">
        <v>325</v>
      </c>
      <c r="D248" t="s">
        <v>310</v>
      </c>
      <c r="E248" t="s">
        <v>311</v>
      </c>
      <c r="F248" t="s">
        <v>326</v>
      </c>
      <c r="G248" t="s">
        <v>34</v>
      </c>
      <c r="H248" t="s">
        <v>16</v>
      </c>
      <c r="I248">
        <v>0</v>
      </c>
      <c r="J248" s="1">
        <v>247696.93</v>
      </c>
      <c r="K248" s="1">
        <v>204920.26</v>
      </c>
    </row>
    <row r="249" spans="1:11" x14ac:dyDescent="0.25">
      <c r="A249">
        <v>2026</v>
      </c>
      <c r="B249">
        <v>2</v>
      </c>
      <c r="C249" t="s">
        <v>327</v>
      </c>
      <c r="D249" t="s">
        <v>310</v>
      </c>
      <c r="E249" t="s">
        <v>311</v>
      </c>
      <c r="F249" t="s">
        <v>14</v>
      </c>
      <c r="G249" t="s">
        <v>186</v>
      </c>
      <c r="H249" t="s">
        <v>16</v>
      </c>
      <c r="I249" s="1">
        <v>849839.92</v>
      </c>
      <c r="J249" s="1">
        <v>849839.92</v>
      </c>
      <c r="K249" s="1">
        <v>849839.92</v>
      </c>
    </row>
    <row r="250" spans="1:11" x14ac:dyDescent="0.25">
      <c r="A250">
        <v>2026</v>
      </c>
      <c r="B250">
        <v>2</v>
      </c>
      <c r="C250" t="s">
        <v>328</v>
      </c>
      <c r="D250" t="s">
        <v>310</v>
      </c>
      <c r="E250" t="s">
        <v>311</v>
      </c>
      <c r="F250" t="s">
        <v>14</v>
      </c>
      <c r="G250" t="s">
        <v>46</v>
      </c>
      <c r="H250" t="s">
        <v>16</v>
      </c>
      <c r="I250">
        <v>0</v>
      </c>
      <c r="J250" s="1">
        <v>101121.95</v>
      </c>
      <c r="K250" s="1">
        <v>130698.26</v>
      </c>
    </row>
    <row r="251" spans="1:11" x14ac:dyDescent="0.25">
      <c r="A251">
        <v>2026</v>
      </c>
      <c r="B251">
        <v>2</v>
      </c>
      <c r="C251" t="s">
        <v>329</v>
      </c>
      <c r="D251" t="s">
        <v>310</v>
      </c>
      <c r="E251" t="s">
        <v>311</v>
      </c>
      <c r="F251" t="s">
        <v>326</v>
      </c>
      <c r="G251" t="s">
        <v>46</v>
      </c>
      <c r="H251" t="s">
        <v>16</v>
      </c>
      <c r="I251" s="1">
        <v>50000</v>
      </c>
      <c r="J251" s="1">
        <v>85340.46</v>
      </c>
      <c r="K251" s="1">
        <v>126072.72</v>
      </c>
    </row>
    <row r="252" spans="1:11" x14ac:dyDescent="0.25">
      <c r="A252">
        <v>2026</v>
      </c>
      <c r="B252">
        <v>2</v>
      </c>
      <c r="C252" t="s">
        <v>330</v>
      </c>
      <c r="D252" t="s">
        <v>310</v>
      </c>
      <c r="E252" t="s">
        <v>311</v>
      </c>
      <c r="F252" t="s">
        <v>331</v>
      </c>
      <c r="G252" t="s">
        <v>15</v>
      </c>
      <c r="H252" t="s">
        <v>16</v>
      </c>
      <c r="I252" s="1">
        <v>327953.25</v>
      </c>
      <c r="J252" s="1">
        <v>327953.25</v>
      </c>
      <c r="K252" s="1">
        <v>323367.82</v>
      </c>
    </row>
    <row r="253" spans="1:11" x14ac:dyDescent="0.25">
      <c r="A253">
        <v>2026</v>
      </c>
      <c r="B253">
        <v>2</v>
      </c>
      <c r="C253" t="s">
        <v>332</v>
      </c>
      <c r="D253" t="s">
        <v>310</v>
      </c>
      <c r="E253" t="s">
        <v>311</v>
      </c>
      <c r="F253" t="s">
        <v>333</v>
      </c>
      <c r="G253" t="s">
        <v>15</v>
      </c>
      <c r="H253" t="s">
        <v>16</v>
      </c>
      <c r="I253" s="1">
        <v>294689.05</v>
      </c>
      <c r="J253" s="1">
        <v>294689.05</v>
      </c>
      <c r="K253" s="1">
        <v>294689.05</v>
      </c>
    </row>
    <row r="254" spans="1:11" x14ac:dyDescent="0.25">
      <c r="A254">
        <v>2026</v>
      </c>
      <c r="B254">
        <v>2</v>
      </c>
      <c r="C254" t="s">
        <v>334</v>
      </c>
      <c r="D254" t="s">
        <v>310</v>
      </c>
      <c r="E254" t="s">
        <v>311</v>
      </c>
      <c r="F254" t="s">
        <v>333</v>
      </c>
      <c r="G254" t="s">
        <v>15</v>
      </c>
      <c r="H254" t="s">
        <v>151</v>
      </c>
      <c r="I254" s="1">
        <v>851061.81</v>
      </c>
      <c r="J254" s="1">
        <v>851061.81</v>
      </c>
      <c r="K254" s="1">
        <v>852015.71</v>
      </c>
    </row>
    <row r="255" spans="1:11" x14ac:dyDescent="0.25">
      <c r="A255">
        <v>2026</v>
      </c>
      <c r="B255">
        <v>2</v>
      </c>
      <c r="C255" t="s">
        <v>335</v>
      </c>
      <c r="D255" t="s">
        <v>310</v>
      </c>
      <c r="E255" t="s">
        <v>311</v>
      </c>
      <c r="F255" t="s">
        <v>333</v>
      </c>
      <c r="G255" t="s">
        <v>136</v>
      </c>
      <c r="H255" t="s">
        <v>16</v>
      </c>
      <c r="I255" s="1">
        <v>271016.51</v>
      </c>
      <c r="J255" s="1">
        <v>271016.51</v>
      </c>
      <c r="K255" s="1">
        <v>271016.51</v>
      </c>
    </row>
    <row r="256" spans="1:11" x14ac:dyDescent="0.25">
      <c r="A256">
        <v>2026</v>
      </c>
      <c r="B256">
        <v>2</v>
      </c>
      <c r="C256" t="s">
        <v>336</v>
      </c>
      <c r="D256" t="s">
        <v>310</v>
      </c>
      <c r="E256" t="s">
        <v>311</v>
      </c>
      <c r="F256" t="s">
        <v>333</v>
      </c>
      <c r="G256" t="s">
        <v>219</v>
      </c>
      <c r="H256" t="s">
        <v>16</v>
      </c>
      <c r="I256" s="1">
        <v>1740.59</v>
      </c>
      <c r="J256" s="1">
        <v>1740.59</v>
      </c>
      <c r="K256" s="1">
        <v>1740.59</v>
      </c>
    </row>
    <row r="257" spans="1:11" x14ac:dyDescent="0.25">
      <c r="A257">
        <v>2026</v>
      </c>
      <c r="B257">
        <v>2</v>
      </c>
      <c r="C257" t="s">
        <v>337</v>
      </c>
      <c r="D257" t="s">
        <v>310</v>
      </c>
      <c r="E257" t="s">
        <v>311</v>
      </c>
      <c r="F257" t="s">
        <v>331</v>
      </c>
      <c r="G257" t="s">
        <v>225</v>
      </c>
      <c r="H257" t="s">
        <v>16</v>
      </c>
      <c r="I257" s="1">
        <v>3925.86</v>
      </c>
      <c r="J257" s="1">
        <v>3925.86</v>
      </c>
      <c r="K257" s="1">
        <v>3925.86</v>
      </c>
    </row>
    <row r="258" spans="1:11" x14ac:dyDescent="0.25">
      <c r="A258">
        <v>2026</v>
      </c>
      <c r="B258">
        <v>2</v>
      </c>
      <c r="C258" t="s">
        <v>338</v>
      </c>
      <c r="D258" t="s">
        <v>310</v>
      </c>
      <c r="E258" t="s">
        <v>311</v>
      </c>
      <c r="F258" t="s">
        <v>331</v>
      </c>
      <c r="G258" t="s">
        <v>136</v>
      </c>
      <c r="H258" t="s">
        <v>16</v>
      </c>
      <c r="I258" s="1">
        <v>63187.360000000001</v>
      </c>
      <c r="J258" s="1">
        <v>63187.360000000001</v>
      </c>
      <c r="K258" s="1">
        <v>63187.360000000001</v>
      </c>
    </row>
    <row r="259" spans="1:11" x14ac:dyDescent="0.25">
      <c r="A259">
        <v>2026</v>
      </c>
      <c r="B259">
        <v>2</v>
      </c>
      <c r="C259" t="s">
        <v>339</v>
      </c>
      <c r="D259" t="s">
        <v>310</v>
      </c>
      <c r="E259" t="s">
        <v>311</v>
      </c>
      <c r="F259" t="s">
        <v>333</v>
      </c>
      <c r="G259" t="s">
        <v>136</v>
      </c>
      <c r="H259" t="s">
        <v>16</v>
      </c>
      <c r="I259" s="1">
        <v>65567.14</v>
      </c>
      <c r="J259" s="1">
        <v>65567.14</v>
      </c>
      <c r="K259" s="1">
        <v>65567.14</v>
      </c>
    </row>
    <row r="260" spans="1:11" x14ac:dyDescent="0.25">
      <c r="A260">
        <v>2026</v>
      </c>
      <c r="B260">
        <v>2</v>
      </c>
      <c r="C260" t="s">
        <v>340</v>
      </c>
      <c r="D260" t="s">
        <v>310</v>
      </c>
      <c r="E260" t="s">
        <v>311</v>
      </c>
      <c r="F260" t="s">
        <v>333</v>
      </c>
      <c r="G260" t="s">
        <v>98</v>
      </c>
      <c r="H260" t="s">
        <v>151</v>
      </c>
      <c r="I260">
        <v>0</v>
      </c>
      <c r="J260" s="1">
        <v>17938.669999999998</v>
      </c>
      <c r="K260">
        <v>0</v>
      </c>
    </row>
    <row r="261" spans="1:11" x14ac:dyDescent="0.25">
      <c r="A261">
        <v>2026</v>
      </c>
      <c r="B261">
        <v>2</v>
      </c>
      <c r="C261" t="s">
        <v>341</v>
      </c>
      <c r="D261" t="s">
        <v>310</v>
      </c>
      <c r="E261" t="s">
        <v>13</v>
      </c>
      <c r="F261" t="s">
        <v>331</v>
      </c>
      <c r="G261" t="s">
        <v>24</v>
      </c>
      <c r="H261" t="s">
        <v>16</v>
      </c>
      <c r="I261">
        <v>0</v>
      </c>
      <c r="J261" s="1">
        <v>15172.5</v>
      </c>
      <c r="K261">
        <v>0</v>
      </c>
    </row>
    <row r="262" spans="1:11" x14ac:dyDescent="0.25">
      <c r="A262">
        <v>2026</v>
      </c>
      <c r="B262">
        <v>2</v>
      </c>
      <c r="C262" t="s">
        <v>342</v>
      </c>
      <c r="D262" t="s">
        <v>310</v>
      </c>
      <c r="E262" t="s">
        <v>311</v>
      </c>
      <c r="F262" t="s">
        <v>331</v>
      </c>
      <c r="G262" t="s">
        <v>24</v>
      </c>
      <c r="H262" t="s">
        <v>16</v>
      </c>
      <c r="I262" s="1">
        <v>78343.199999999997</v>
      </c>
      <c r="J262" s="1">
        <v>23621.599999999999</v>
      </c>
      <c r="K262" s="1">
        <v>31130.6</v>
      </c>
    </row>
    <row r="263" spans="1:11" x14ac:dyDescent="0.25">
      <c r="A263">
        <v>2026</v>
      </c>
      <c r="B263">
        <v>2</v>
      </c>
      <c r="C263" t="s">
        <v>343</v>
      </c>
      <c r="D263" t="s">
        <v>310</v>
      </c>
      <c r="E263" t="s">
        <v>311</v>
      </c>
      <c r="F263" t="s">
        <v>331</v>
      </c>
      <c r="G263" t="s">
        <v>24</v>
      </c>
      <c r="H263" t="s">
        <v>59</v>
      </c>
      <c r="I263">
        <v>900</v>
      </c>
      <c r="J263">
        <v>900</v>
      </c>
      <c r="K263" s="1">
        <v>2850</v>
      </c>
    </row>
    <row r="264" spans="1:11" x14ac:dyDescent="0.25">
      <c r="A264">
        <v>2026</v>
      </c>
      <c r="B264">
        <v>2</v>
      </c>
      <c r="C264" t="s">
        <v>344</v>
      </c>
      <c r="D264" t="s">
        <v>310</v>
      </c>
      <c r="E264" t="s">
        <v>311</v>
      </c>
      <c r="F264" t="s">
        <v>333</v>
      </c>
      <c r="G264" t="s">
        <v>24</v>
      </c>
      <c r="H264" t="s">
        <v>56</v>
      </c>
      <c r="I264" s="1">
        <v>37600</v>
      </c>
      <c r="J264" s="1">
        <v>29670.45</v>
      </c>
      <c r="K264">
        <v>665.22</v>
      </c>
    </row>
    <row r="265" spans="1:11" x14ac:dyDescent="0.25">
      <c r="A265">
        <v>2026</v>
      </c>
      <c r="B265">
        <v>2</v>
      </c>
      <c r="C265" t="s">
        <v>345</v>
      </c>
      <c r="D265" t="s">
        <v>310</v>
      </c>
      <c r="E265" t="s">
        <v>311</v>
      </c>
      <c r="F265" t="s">
        <v>333</v>
      </c>
      <c r="G265" t="s">
        <v>24</v>
      </c>
      <c r="H265" t="s">
        <v>151</v>
      </c>
      <c r="I265" s="1">
        <v>110618.85</v>
      </c>
      <c r="J265" s="1">
        <v>14889.4</v>
      </c>
      <c r="K265" s="1">
        <v>1759.8</v>
      </c>
    </row>
    <row r="266" spans="1:11" x14ac:dyDescent="0.25">
      <c r="A266">
        <v>2026</v>
      </c>
      <c r="B266">
        <v>2</v>
      </c>
      <c r="C266" t="s">
        <v>346</v>
      </c>
      <c r="D266" t="s">
        <v>310</v>
      </c>
      <c r="E266" t="s">
        <v>311</v>
      </c>
      <c r="F266" t="s">
        <v>331</v>
      </c>
      <c r="G266" t="s">
        <v>32</v>
      </c>
      <c r="H266" t="s">
        <v>16</v>
      </c>
      <c r="I266">
        <v>0</v>
      </c>
      <c r="J266" s="1">
        <v>4126.76</v>
      </c>
      <c r="K266" s="1">
        <v>4126.76</v>
      </c>
    </row>
    <row r="267" spans="1:11" x14ac:dyDescent="0.25">
      <c r="A267">
        <v>2026</v>
      </c>
      <c r="B267">
        <v>2</v>
      </c>
      <c r="C267" t="s">
        <v>347</v>
      </c>
      <c r="D267" t="s">
        <v>310</v>
      </c>
      <c r="E267" t="s">
        <v>311</v>
      </c>
      <c r="F267" t="s">
        <v>333</v>
      </c>
      <c r="G267" t="s">
        <v>32</v>
      </c>
      <c r="H267" t="s">
        <v>151</v>
      </c>
      <c r="I267">
        <v>0</v>
      </c>
      <c r="J267" s="1">
        <v>3984</v>
      </c>
      <c r="K267">
        <v>0</v>
      </c>
    </row>
    <row r="268" spans="1:11" x14ac:dyDescent="0.25">
      <c r="A268">
        <v>2026</v>
      </c>
      <c r="B268">
        <v>2</v>
      </c>
      <c r="C268" t="s">
        <v>348</v>
      </c>
      <c r="D268" t="s">
        <v>310</v>
      </c>
      <c r="E268" t="s">
        <v>13</v>
      </c>
      <c r="F268" t="s">
        <v>331</v>
      </c>
      <c r="G268" t="s">
        <v>34</v>
      </c>
      <c r="H268" t="s">
        <v>16</v>
      </c>
      <c r="I268" s="1">
        <v>18150.259999999998</v>
      </c>
      <c r="J268" s="1">
        <v>33119.33</v>
      </c>
      <c r="K268" s="1">
        <v>6458.49</v>
      </c>
    </row>
    <row r="269" spans="1:11" x14ac:dyDescent="0.25">
      <c r="A269">
        <v>2026</v>
      </c>
      <c r="B269">
        <v>2</v>
      </c>
      <c r="C269" t="s">
        <v>349</v>
      </c>
      <c r="D269" t="s">
        <v>310</v>
      </c>
      <c r="E269" t="s">
        <v>13</v>
      </c>
      <c r="F269" t="s">
        <v>331</v>
      </c>
      <c r="G269" t="s">
        <v>34</v>
      </c>
      <c r="H269" t="s">
        <v>324</v>
      </c>
      <c r="I269" s="1">
        <v>4013</v>
      </c>
      <c r="J269" s="1">
        <v>2540.08</v>
      </c>
      <c r="K269">
        <v>0</v>
      </c>
    </row>
    <row r="270" spans="1:11" x14ac:dyDescent="0.25">
      <c r="A270">
        <v>2026</v>
      </c>
      <c r="B270">
        <v>2</v>
      </c>
      <c r="C270" t="s">
        <v>350</v>
      </c>
      <c r="D270" t="s">
        <v>310</v>
      </c>
      <c r="E270" t="s">
        <v>311</v>
      </c>
      <c r="F270" t="s">
        <v>331</v>
      </c>
      <c r="G270" t="s">
        <v>34</v>
      </c>
      <c r="H270" t="s">
        <v>16</v>
      </c>
      <c r="I270" s="1">
        <v>320445</v>
      </c>
      <c r="J270" s="1">
        <v>78449.5</v>
      </c>
      <c r="K270" s="1">
        <v>12857.69</v>
      </c>
    </row>
    <row r="271" spans="1:11" x14ac:dyDescent="0.25">
      <c r="A271">
        <v>2026</v>
      </c>
      <c r="B271">
        <v>2</v>
      </c>
      <c r="C271" t="s">
        <v>351</v>
      </c>
      <c r="D271" t="s">
        <v>310</v>
      </c>
      <c r="E271" t="s">
        <v>311</v>
      </c>
      <c r="F271" t="s">
        <v>331</v>
      </c>
      <c r="G271" t="s">
        <v>34</v>
      </c>
      <c r="H271" t="s">
        <v>59</v>
      </c>
      <c r="I271" s="1">
        <v>67158.48</v>
      </c>
      <c r="J271" s="1">
        <v>90088.12</v>
      </c>
      <c r="K271" s="1">
        <v>12878.28</v>
      </c>
    </row>
    <row r="272" spans="1:11" x14ac:dyDescent="0.25">
      <c r="A272">
        <v>2026</v>
      </c>
      <c r="B272">
        <v>2</v>
      </c>
      <c r="C272" t="s">
        <v>352</v>
      </c>
      <c r="D272" t="s">
        <v>310</v>
      </c>
      <c r="E272" t="s">
        <v>311</v>
      </c>
      <c r="F272" t="s">
        <v>331</v>
      </c>
      <c r="G272" t="s">
        <v>34</v>
      </c>
      <c r="H272" t="s">
        <v>151</v>
      </c>
      <c r="I272">
        <v>0</v>
      </c>
      <c r="J272" s="1">
        <v>14059.4</v>
      </c>
      <c r="K272" s="1">
        <v>14059.4</v>
      </c>
    </row>
    <row r="273" spans="1:11" x14ac:dyDescent="0.25">
      <c r="A273">
        <v>2026</v>
      </c>
      <c r="B273">
        <v>2</v>
      </c>
      <c r="C273" t="s">
        <v>353</v>
      </c>
      <c r="D273" t="s">
        <v>310</v>
      </c>
      <c r="E273" t="s">
        <v>311</v>
      </c>
      <c r="F273" t="s">
        <v>333</v>
      </c>
      <c r="G273" t="s">
        <v>34</v>
      </c>
      <c r="H273" t="s">
        <v>151</v>
      </c>
      <c r="I273">
        <v>0</v>
      </c>
      <c r="J273" s="1">
        <v>7500</v>
      </c>
      <c r="K273">
        <v>0</v>
      </c>
    </row>
    <row r="274" spans="1:11" x14ac:dyDescent="0.25">
      <c r="A274">
        <v>2026</v>
      </c>
      <c r="B274">
        <v>2</v>
      </c>
      <c r="C274" t="s">
        <v>354</v>
      </c>
      <c r="D274" t="s">
        <v>310</v>
      </c>
      <c r="E274" t="s">
        <v>311</v>
      </c>
      <c r="F274" t="s">
        <v>333</v>
      </c>
      <c r="G274" t="s">
        <v>34</v>
      </c>
      <c r="H274" t="s">
        <v>151</v>
      </c>
      <c r="I274" s="1">
        <v>12461.68</v>
      </c>
      <c r="J274" s="1">
        <v>51379.26</v>
      </c>
      <c r="K274" s="1">
        <v>18813.560000000001</v>
      </c>
    </row>
    <row r="275" spans="1:11" x14ac:dyDescent="0.25">
      <c r="A275">
        <v>2026</v>
      </c>
      <c r="B275">
        <v>2</v>
      </c>
      <c r="C275" t="s">
        <v>355</v>
      </c>
      <c r="D275" t="s">
        <v>310</v>
      </c>
      <c r="E275" t="s">
        <v>13</v>
      </c>
      <c r="F275" t="s">
        <v>331</v>
      </c>
      <c r="G275" t="s">
        <v>46</v>
      </c>
      <c r="H275" t="s">
        <v>16</v>
      </c>
      <c r="I275" s="1">
        <v>30877.48</v>
      </c>
      <c r="J275" s="1">
        <v>30877.48</v>
      </c>
      <c r="K275" s="1">
        <v>6428.48</v>
      </c>
    </row>
    <row r="276" spans="1:11" x14ac:dyDescent="0.25">
      <c r="A276">
        <v>2026</v>
      </c>
      <c r="B276">
        <v>2</v>
      </c>
      <c r="C276" t="s">
        <v>356</v>
      </c>
      <c r="D276" t="s">
        <v>310</v>
      </c>
      <c r="E276" t="s">
        <v>311</v>
      </c>
      <c r="F276" t="s">
        <v>331</v>
      </c>
      <c r="G276" t="s">
        <v>46</v>
      </c>
      <c r="H276" t="s">
        <v>16</v>
      </c>
      <c r="I276">
        <v>0</v>
      </c>
      <c r="J276">
        <v>0</v>
      </c>
      <c r="K276" s="1">
        <v>118641.02</v>
      </c>
    </row>
    <row r="277" spans="1:11" x14ac:dyDescent="0.25">
      <c r="A277">
        <v>2026</v>
      </c>
      <c r="B277">
        <v>2</v>
      </c>
      <c r="C277" t="s">
        <v>357</v>
      </c>
      <c r="D277" t="s">
        <v>310</v>
      </c>
      <c r="E277" t="s">
        <v>311</v>
      </c>
      <c r="F277" t="s">
        <v>358</v>
      </c>
      <c r="G277" t="s">
        <v>98</v>
      </c>
      <c r="H277" t="s">
        <v>16</v>
      </c>
      <c r="I277">
        <v>0</v>
      </c>
      <c r="J277" s="1">
        <v>15665345.1</v>
      </c>
      <c r="K277" s="1">
        <v>16129835.710000001</v>
      </c>
    </row>
    <row r="278" spans="1:11" x14ac:dyDescent="0.25">
      <c r="A278">
        <v>2026</v>
      </c>
      <c r="B278">
        <v>2</v>
      </c>
      <c r="C278" t="s">
        <v>359</v>
      </c>
      <c r="D278" t="s">
        <v>310</v>
      </c>
      <c r="E278" t="s">
        <v>311</v>
      </c>
      <c r="F278" t="s">
        <v>358</v>
      </c>
      <c r="G278" t="s">
        <v>98</v>
      </c>
      <c r="H278" t="s">
        <v>151</v>
      </c>
      <c r="I278">
        <v>0</v>
      </c>
      <c r="J278" s="1">
        <v>7100830</v>
      </c>
      <c r="K278" s="1">
        <v>7100830</v>
      </c>
    </row>
    <row r="279" spans="1:11" x14ac:dyDescent="0.25">
      <c r="A279">
        <v>2026</v>
      </c>
      <c r="B279">
        <v>2</v>
      </c>
      <c r="C279" t="s">
        <v>360</v>
      </c>
      <c r="D279" t="s">
        <v>310</v>
      </c>
      <c r="E279" t="s">
        <v>311</v>
      </c>
      <c r="F279" t="s">
        <v>358</v>
      </c>
      <c r="G279" t="s">
        <v>98</v>
      </c>
      <c r="H279" t="s">
        <v>16</v>
      </c>
      <c r="I279">
        <v>0</v>
      </c>
      <c r="J279" s="1">
        <v>5624545.1600000001</v>
      </c>
      <c r="K279" s="1">
        <v>5627371.1100000003</v>
      </c>
    </row>
    <row r="280" spans="1:11" x14ac:dyDescent="0.25">
      <c r="A280">
        <v>2026</v>
      </c>
      <c r="B280">
        <v>2</v>
      </c>
      <c r="C280" t="s">
        <v>361</v>
      </c>
      <c r="D280" t="s">
        <v>310</v>
      </c>
      <c r="E280" t="s">
        <v>311</v>
      </c>
      <c r="F280" t="s">
        <v>358</v>
      </c>
      <c r="G280" t="s">
        <v>98</v>
      </c>
      <c r="H280" t="s">
        <v>16</v>
      </c>
      <c r="I280" s="1">
        <v>647059.81999999995</v>
      </c>
      <c r="J280" s="1">
        <v>4936641.88</v>
      </c>
      <c r="K280" s="1">
        <v>4938931.96</v>
      </c>
    </row>
    <row r="281" spans="1:11" x14ac:dyDescent="0.25">
      <c r="A281">
        <v>2026</v>
      </c>
      <c r="B281">
        <v>2</v>
      </c>
      <c r="C281" t="s">
        <v>362</v>
      </c>
      <c r="D281" t="s">
        <v>310</v>
      </c>
      <c r="E281" t="s">
        <v>311</v>
      </c>
      <c r="F281" t="s">
        <v>358</v>
      </c>
      <c r="G281" t="s">
        <v>98</v>
      </c>
      <c r="H281" t="s">
        <v>151</v>
      </c>
      <c r="I281">
        <v>0</v>
      </c>
      <c r="J281" s="1">
        <v>1175000</v>
      </c>
      <c r="K281" s="1">
        <v>1175000</v>
      </c>
    </row>
    <row r="282" spans="1:11" x14ac:dyDescent="0.25">
      <c r="A282">
        <v>2026</v>
      </c>
      <c r="B282">
        <v>2</v>
      </c>
      <c r="C282" t="s">
        <v>363</v>
      </c>
      <c r="D282" t="s">
        <v>310</v>
      </c>
      <c r="E282" t="s">
        <v>311</v>
      </c>
      <c r="F282" t="s">
        <v>358</v>
      </c>
      <c r="G282" t="s">
        <v>76</v>
      </c>
      <c r="H282" t="s">
        <v>16</v>
      </c>
      <c r="I282">
        <v>0</v>
      </c>
      <c r="J282" s="1">
        <v>1149618.98</v>
      </c>
      <c r="K282" s="1">
        <v>1149618.98</v>
      </c>
    </row>
    <row r="283" spans="1:11" x14ac:dyDescent="0.25">
      <c r="A283">
        <v>2026</v>
      </c>
      <c r="B283">
        <v>2</v>
      </c>
      <c r="C283" t="s">
        <v>364</v>
      </c>
      <c r="D283" t="s">
        <v>310</v>
      </c>
      <c r="E283" t="s">
        <v>311</v>
      </c>
      <c r="F283" t="s">
        <v>358</v>
      </c>
      <c r="G283" t="s">
        <v>76</v>
      </c>
      <c r="H283" t="s">
        <v>151</v>
      </c>
      <c r="I283">
        <v>0</v>
      </c>
      <c r="J283" s="1">
        <v>470728.7</v>
      </c>
      <c r="K283" s="1">
        <v>470728.7</v>
      </c>
    </row>
    <row r="284" spans="1:11" x14ac:dyDescent="0.25">
      <c r="A284">
        <v>2026</v>
      </c>
      <c r="B284">
        <v>2</v>
      </c>
      <c r="C284" t="s">
        <v>365</v>
      </c>
      <c r="D284" t="s">
        <v>310</v>
      </c>
      <c r="E284" t="s">
        <v>311</v>
      </c>
      <c r="F284" t="s">
        <v>358</v>
      </c>
      <c r="G284" t="s">
        <v>366</v>
      </c>
      <c r="H284" t="s">
        <v>16</v>
      </c>
      <c r="I284" s="1">
        <v>100272.72</v>
      </c>
      <c r="J284" s="1">
        <v>100272.72</v>
      </c>
      <c r="K284" s="1">
        <v>100272.72</v>
      </c>
    </row>
    <row r="285" spans="1:11" x14ac:dyDescent="0.25">
      <c r="A285">
        <v>2026</v>
      </c>
      <c r="B285">
        <v>2</v>
      </c>
      <c r="C285" t="s">
        <v>367</v>
      </c>
      <c r="D285" t="s">
        <v>310</v>
      </c>
      <c r="E285" t="s">
        <v>311</v>
      </c>
      <c r="F285" t="s">
        <v>358</v>
      </c>
      <c r="G285" t="s">
        <v>34</v>
      </c>
      <c r="H285" t="s">
        <v>16</v>
      </c>
      <c r="I285">
        <v>0</v>
      </c>
      <c r="J285" s="1">
        <v>35967.160000000003</v>
      </c>
      <c r="K285">
        <v>0</v>
      </c>
    </row>
    <row r="286" spans="1:11" x14ac:dyDescent="0.25">
      <c r="A286">
        <v>2026</v>
      </c>
      <c r="B286">
        <v>2</v>
      </c>
      <c r="C286" t="s">
        <v>368</v>
      </c>
      <c r="D286" t="s">
        <v>310</v>
      </c>
      <c r="E286" t="s">
        <v>311</v>
      </c>
      <c r="F286" t="s">
        <v>358</v>
      </c>
      <c r="G286" t="s">
        <v>46</v>
      </c>
      <c r="H286" t="s">
        <v>16</v>
      </c>
      <c r="I286">
        <v>0</v>
      </c>
      <c r="J286">
        <v>0</v>
      </c>
      <c r="K286" s="1">
        <v>17499.66</v>
      </c>
    </row>
    <row r="287" spans="1:11" x14ac:dyDescent="0.25">
      <c r="A287">
        <v>2026</v>
      </c>
      <c r="B287">
        <v>2</v>
      </c>
      <c r="C287" t="s">
        <v>369</v>
      </c>
      <c r="D287" t="s">
        <v>310</v>
      </c>
      <c r="E287" t="s">
        <v>311</v>
      </c>
      <c r="F287" t="s">
        <v>358</v>
      </c>
      <c r="G287" t="s">
        <v>370</v>
      </c>
      <c r="H287" t="s">
        <v>16</v>
      </c>
      <c r="I287">
        <v>0</v>
      </c>
      <c r="J287" s="1">
        <v>76800</v>
      </c>
      <c r="K287">
        <v>0</v>
      </c>
    </row>
    <row r="288" spans="1:11" x14ac:dyDescent="0.25">
      <c r="A288">
        <v>2026</v>
      </c>
      <c r="B288">
        <v>2</v>
      </c>
      <c r="C288" t="s">
        <v>371</v>
      </c>
      <c r="D288" t="s">
        <v>310</v>
      </c>
      <c r="E288" t="s">
        <v>311</v>
      </c>
      <c r="F288" t="s">
        <v>358</v>
      </c>
      <c r="G288" t="s">
        <v>123</v>
      </c>
      <c r="H288" t="s">
        <v>16</v>
      </c>
      <c r="I288" s="1">
        <v>652000</v>
      </c>
      <c r="J288">
        <v>0</v>
      </c>
      <c r="K288">
        <v>0</v>
      </c>
    </row>
    <row r="289" spans="1:11" x14ac:dyDescent="0.25">
      <c r="A289">
        <v>2026</v>
      </c>
      <c r="B289">
        <v>2</v>
      </c>
      <c r="C289" t="s">
        <v>372</v>
      </c>
      <c r="D289" t="s">
        <v>310</v>
      </c>
      <c r="E289" t="s">
        <v>311</v>
      </c>
      <c r="F289" t="s">
        <v>358</v>
      </c>
      <c r="G289" t="s">
        <v>123</v>
      </c>
      <c r="H289" t="s">
        <v>151</v>
      </c>
      <c r="I289" s="1">
        <v>30002000</v>
      </c>
      <c r="J289">
        <v>0</v>
      </c>
      <c r="K289">
        <v>0</v>
      </c>
    </row>
    <row r="290" spans="1:11" x14ac:dyDescent="0.25">
      <c r="A290">
        <v>2026</v>
      </c>
      <c r="B290">
        <v>2</v>
      </c>
      <c r="C290" t="s">
        <v>373</v>
      </c>
      <c r="D290" t="s">
        <v>310</v>
      </c>
      <c r="E290" t="s">
        <v>311</v>
      </c>
      <c r="F290" t="s">
        <v>358</v>
      </c>
      <c r="G290" t="s">
        <v>123</v>
      </c>
      <c r="H290" t="s">
        <v>374</v>
      </c>
      <c r="I290" s="1">
        <v>2630000</v>
      </c>
      <c r="J290">
        <v>0</v>
      </c>
      <c r="K290">
        <v>0</v>
      </c>
    </row>
    <row r="291" spans="1:11" x14ac:dyDescent="0.25">
      <c r="A291">
        <v>2026</v>
      </c>
      <c r="B291">
        <v>2</v>
      </c>
      <c r="C291" t="s">
        <v>375</v>
      </c>
      <c r="D291" t="s">
        <v>310</v>
      </c>
      <c r="E291" t="s">
        <v>311</v>
      </c>
      <c r="F291" t="s">
        <v>358</v>
      </c>
      <c r="G291" t="s">
        <v>49</v>
      </c>
      <c r="H291" t="s">
        <v>376</v>
      </c>
      <c r="I291">
        <v>0</v>
      </c>
      <c r="J291">
        <v>0</v>
      </c>
      <c r="K291" s="1">
        <v>53000</v>
      </c>
    </row>
    <row r="292" spans="1:11" x14ac:dyDescent="0.25">
      <c r="A292">
        <v>2026</v>
      </c>
      <c r="B292">
        <v>2</v>
      </c>
      <c r="C292" t="s">
        <v>377</v>
      </c>
      <c r="D292" t="s">
        <v>310</v>
      </c>
      <c r="E292" t="s">
        <v>311</v>
      </c>
      <c r="F292" t="s">
        <v>326</v>
      </c>
      <c r="G292" t="s">
        <v>15</v>
      </c>
      <c r="H292" t="s">
        <v>16</v>
      </c>
      <c r="I292" s="1">
        <v>4579468.3499999996</v>
      </c>
      <c r="J292" s="1">
        <v>4579468.3499999996</v>
      </c>
      <c r="K292" s="1">
        <v>4579848.33</v>
      </c>
    </row>
    <row r="293" spans="1:11" x14ac:dyDescent="0.25">
      <c r="A293">
        <v>2026</v>
      </c>
      <c r="B293">
        <v>2</v>
      </c>
      <c r="C293" t="s">
        <v>378</v>
      </c>
      <c r="D293" t="s">
        <v>310</v>
      </c>
      <c r="E293" t="s">
        <v>311</v>
      </c>
      <c r="F293" t="s">
        <v>326</v>
      </c>
      <c r="G293" t="s">
        <v>15</v>
      </c>
      <c r="H293" t="s">
        <v>151</v>
      </c>
      <c r="I293" s="1">
        <v>1022754.67</v>
      </c>
      <c r="J293" s="1">
        <v>1022754.67</v>
      </c>
      <c r="K293" s="1">
        <v>1021813.98</v>
      </c>
    </row>
    <row r="294" spans="1:11" x14ac:dyDescent="0.25">
      <c r="A294">
        <v>2026</v>
      </c>
      <c r="B294">
        <v>2</v>
      </c>
      <c r="C294" t="s">
        <v>379</v>
      </c>
      <c r="D294" t="s">
        <v>310</v>
      </c>
      <c r="E294" t="s">
        <v>311</v>
      </c>
      <c r="F294" t="s">
        <v>326</v>
      </c>
      <c r="G294" t="s">
        <v>15</v>
      </c>
      <c r="H294" t="s">
        <v>151</v>
      </c>
      <c r="I294" s="1">
        <v>39530.54</v>
      </c>
      <c r="J294" s="1">
        <v>39530.54</v>
      </c>
      <c r="K294" s="1">
        <v>39530.54</v>
      </c>
    </row>
    <row r="295" spans="1:11" x14ac:dyDescent="0.25">
      <c r="A295">
        <v>2026</v>
      </c>
      <c r="B295">
        <v>2</v>
      </c>
      <c r="C295" t="s">
        <v>380</v>
      </c>
      <c r="D295" t="s">
        <v>310</v>
      </c>
      <c r="E295" t="s">
        <v>311</v>
      </c>
      <c r="F295" t="s">
        <v>326</v>
      </c>
      <c r="G295" t="s">
        <v>136</v>
      </c>
      <c r="H295" t="s">
        <v>16</v>
      </c>
      <c r="I295" s="1">
        <v>348858.27</v>
      </c>
      <c r="J295" s="1">
        <v>348858.27</v>
      </c>
      <c r="K295" s="1">
        <v>348858.27</v>
      </c>
    </row>
    <row r="296" spans="1:11" x14ac:dyDescent="0.25">
      <c r="A296">
        <v>2026</v>
      </c>
      <c r="B296">
        <v>2</v>
      </c>
      <c r="C296" t="s">
        <v>381</v>
      </c>
      <c r="D296" t="s">
        <v>310</v>
      </c>
      <c r="E296" t="s">
        <v>311</v>
      </c>
      <c r="F296" t="s">
        <v>326</v>
      </c>
      <c r="G296" t="s">
        <v>219</v>
      </c>
      <c r="H296" t="s">
        <v>16</v>
      </c>
      <c r="I296" s="1">
        <v>185708.86</v>
      </c>
      <c r="J296" s="1">
        <v>185708.86</v>
      </c>
      <c r="K296" s="1">
        <v>185708.86</v>
      </c>
    </row>
    <row r="297" spans="1:11" x14ac:dyDescent="0.25">
      <c r="A297">
        <v>2026</v>
      </c>
      <c r="B297">
        <v>2</v>
      </c>
      <c r="C297" t="s">
        <v>382</v>
      </c>
      <c r="D297" t="s">
        <v>310</v>
      </c>
      <c r="E297" t="s">
        <v>311</v>
      </c>
      <c r="F297" t="s">
        <v>326</v>
      </c>
      <c r="G297" t="s">
        <v>225</v>
      </c>
      <c r="H297" t="s">
        <v>16</v>
      </c>
      <c r="I297" s="1">
        <v>17604.98</v>
      </c>
      <c r="J297" s="1">
        <v>17604.98</v>
      </c>
      <c r="K297" s="1">
        <v>17213.04</v>
      </c>
    </row>
    <row r="298" spans="1:11" x14ac:dyDescent="0.25">
      <c r="A298">
        <v>2026</v>
      </c>
      <c r="B298">
        <v>2</v>
      </c>
      <c r="C298" t="s">
        <v>383</v>
      </c>
      <c r="D298" t="s">
        <v>310</v>
      </c>
      <c r="E298" t="s">
        <v>311</v>
      </c>
      <c r="F298" t="s">
        <v>326</v>
      </c>
      <c r="G298" t="s">
        <v>136</v>
      </c>
      <c r="H298" t="s">
        <v>16</v>
      </c>
      <c r="I298" s="1">
        <v>951509.1</v>
      </c>
      <c r="J298" s="1">
        <v>951509.1</v>
      </c>
      <c r="K298" s="1">
        <v>951509.1</v>
      </c>
    </row>
    <row r="299" spans="1:11" x14ac:dyDescent="0.25">
      <c r="A299">
        <v>2026</v>
      </c>
      <c r="B299">
        <v>2</v>
      </c>
      <c r="C299" t="s">
        <v>384</v>
      </c>
      <c r="D299" t="s">
        <v>310</v>
      </c>
      <c r="E299" t="s">
        <v>311</v>
      </c>
      <c r="F299" t="s">
        <v>326</v>
      </c>
      <c r="G299" t="s">
        <v>98</v>
      </c>
      <c r="H299" t="s">
        <v>16</v>
      </c>
      <c r="I299" s="1">
        <v>1805004.08</v>
      </c>
      <c r="J299" s="1">
        <v>3514435.41</v>
      </c>
      <c r="K299" s="1">
        <v>3514435.41</v>
      </c>
    </row>
    <row r="300" spans="1:11" x14ac:dyDescent="0.25">
      <c r="A300">
        <v>2026</v>
      </c>
      <c r="B300">
        <v>2</v>
      </c>
      <c r="C300" t="s">
        <v>385</v>
      </c>
      <c r="D300" t="s">
        <v>310</v>
      </c>
      <c r="E300" t="s">
        <v>311</v>
      </c>
      <c r="F300" t="s">
        <v>326</v>
      </c>
      <c r="G300" t="s">
        <v>98</v>
      </c>
      <c r="H300" t="s">
        <v>151</v>
      </c>
      <c r="I300">
        <v>0</v>
      </c>
      <c r="J300" s="1">
        <v>9935.6</v>
      </c>
      <c r="K300" s="1">
        <v>9935.6</v>
      </c>
    </row>
    <row r="301" spans="1:11" x14ac:dyDescent="0.25">
      <c r="A301">
        <v>2026</v>
      </c>
      <c r="B301">
        <v>2</v>
      </c>
      <c r="C301" t="s">
        <v>386</v>
      </c>
      <c r="D301" t="s">
        <v>310</v>
      </c>
      <c r="E301" t="s">
        <v>311</v>
      </c>
      <c r="F301" t="s">
        <v>326</v>
      </c>
      <c r="G301" t="s">
        <v>24</v>
      </c>
      <c r="H301" t="s">
        <v>16</v>
      </c>
      <c r="I301" s="1">
        <v>229236.44</v>
      </c>
      <c r="J301" s="1">
        <v>295959.78000000003</v>
      </c>
      <c r="K301" s="1">
        <v>77124.929999999993</v>
      </c>
    </row>
    <row r="302" spans="1:11" x14ac:dyDescent="0.25">
      <c r="A302">
        <v>2026</v>
      </c>
      <c r="B302">
        <v>2</v>
      </c>
      <c r="C302" t="s">
        <v>387</v>
      </c>
      <c r="D302" t="s">
        <v>310</v>
      </c>
      <c r="E302" t="s">
        <v>311</v>
      </c>
      <c r="F302" t="s">
        <v>326</v>
      </c>
      <c r="G302" t="s">
        <v>24</v>
      </c>
      <c r="H302" t="s">
        <v>56</v>
      </c>
      <c r="I302" s="1">
        <v>11497.44</v>
      </c>
      <c r="J302" s="1">
        <v>335228.68</v>
      </c>
      <c r="K302" s="1">
        <v>38167.64</v>
      </c>
    </row>
    <row r="303" spans="1:11" x14ac:dyDescent="0.25">
      <c r="A303">
        <v>2026</v>
      </c>
      <c r="B303">
        <v>2</v>
      </c>
      <c r="C303" t="s">
        <v>388</v>
      </c>
      <c r="D303" t="s">
        <v>310</v>
      </c>
      <c r="E303" t="s">
        <v>311</v>
      </c>
      <c r="F303" t="s">
        <v>326</v>
      </c>
      <c r="G303" t="s">
        <v>24</v>
      </c>
      <c r="H303" t="s">
        <v>151</v>
      </c>
      <c r="I303">
        <v>0</v>
      </c>
      <c r="J303" s="1">
        <v>28175.5</v>
      </c>
      <c r="K303" s="1">
        <v>67757.69</v>
      </c>
    </row>
    <row r="304" spans="1:11" x14ac:dyDescent="0.25">
      <c r="A304">
        <v>2026</v>
      </c>
      <c r="B304">
        <v>2</v>
      </c>
      <c r="C304" t="s">
        <v>389</v>
      </c>
      <c r="D304" t="s">
        <v>310</v>
      </c>
      <c r="E304" t="s">
        <v>311</v>
      </c>
      <c r="F304" t="s">
        <v>326</v>
      </c>
      <c r="G304" t="s">
        <v>24</v>
      </c>
      <c r="H304" t="s">
        <v>376</v>
      </c>
      <c r="I304" s="1">
        <v>113978.7</v>
      </c>
      <c r="J304" s="1">
        <v>17990.5</v>
      </c>
      <c r="K304">
        <v>0</v>
      </c>
    </row>
    <row r="305" spans="1:11" x14ac:dyDescent="0.25">
      <c r="A305">
        <v>2026</v>
      </c>
      <c r="B305">
        <v>2</v>
      </c>
      <c r="C305" t="s">
        <v>390</v>
      </c>
      <c r="D305" t="s">
        <v>310</v>
      </c>
      <c r="E305" t="s">
        <v>311</v>
      </c>
      <c r="F305" t="s">
        <v>326</v>
      </c>
      <c r="G305" t="s">
        <v>24</v>
      </c>
      <c r="H305" t="s">
        <v>151</v>
      </c>
      <c r="I305" s="1">
        <v>19932.14</v>
      </c>
      <c r="J305" s="1">
        <v>1899.48</v>
      </c>
      <c r="K305">
        <v>739</v>
      </c>
    </row>
    <row r="306" spans="1:11" x14ac:dyDescent="0.25">
      <c r="A306">
        <v>2026</v>
      </c>
      <c r="B306">
        <v>2</v>
      </c>
      <c r="C306" t="s">
        <v>391</v>
      </c>
      <c r="D306" t="s">
        <v>310</v>
      </c>
      <c r="E306" t="s">
        <v>311</v>
      </c>
      <c r="F306" t="s">
        <v>392</v>
      </c>
      <c r="G306" t="s">
        <v>24</v>
      </c>
      <c r="H306" t="s">
        <v>16</v>
      </c>
      <c r="I306" s="1">
        <v>396618.72</v>
      </c>
      <c r="J306" s="1">
        <v>521745.59</v>
      </c>
      <c r="K306" s="1">
        <v>362649.08</v>
      </c>
    </row>
    <row r="307" spans="1:11" x14ac:dyDescent="0.25">
      <c r="A307">
        <v>2026</v>
      </c>
      <c r="B307">
        <v>2</v>
      </c>
      <c r="C307" t="s">
        <v>393</v>
      </c>
      <c r="D307" t="s">
        <v>310</v>
      </c>
      <c r="E307" t="s">
        <v>311</v>
      </c>
      <c r="F307" t="s">
        <v>392</v>
      </c>
      <c r="G307" t="s">
        <v>275</v>
      </c>
      <c r="H307" t="s">
        <v>16</v>
      </c>
      <c r="I307" s="1">
        <v>2036777.68</v>
      </c>
      <c r="J307" s="1">
        <v>4237453.1399999997</v>
      </c>
      <c r="K307" s="1">
        <v>3524148.14</v>
      </c>
    </row>
    <row r="308" spans="1:11" x14ac:dyDescent="0.25">
      <c r="A308">
        <v>2026</v>
      </c>
      <c r="B308">
        <v>2</v>
      </c>
      <c r="C308" t="s">
        <v>394</v>
      </c>
      <c r="D308" t="s">
        <v>310</v>
      </c>
      <c r="E308" t="s">
        <v>311</v>
      </c>
      <c r="F308" t="s">
        <v>392</v>
      </c>
      <c r="G308" t="s">
        <v>275</v>
      </c>
      <c r="H308" t="s">
        <v>56</v>
      </c>
      <c r="I308">
        <v>0</v>
      </c>
      <c r="J308" s="1">
        <v>373350</v>
      </c>
      <c r="K308">
        <v>0</v>
      </c>
    </row>
    <row r="309" spans="1:11" x14ac:dyDescent="0.25">
      <c r="A309">
        <v>2026</v>
      </c>
      <c r="B309">
        <v>2</v>
      </c>
      <c r="C309" t="s">
        <v>395</v>
      </c>
      <c r="D309" t="s">
        <v>310</v>
      </c>
      <c r="E309" t="s">
        <v>311</v>
      </c>
      <c r="F309" t="s">
        <v>392</v>
      </c>
      <c r="G309" t="s">
        <v>275</v>
      </c>
      <c r="H309" t="s">
        <v>151</v>
      </c>
      <c r="I309">
        <v>0</v>
      </c>
      <c r="J309" s="1">
        <v>339749.15</v>
      </c>
      <c r="K309" s="1">
        <v>163799.5</v>
      </c>
    </row>
    <row r="310" spans="1:11" x14ac:dyDescent="0.25">
      <c r="A310">
        <v>2026</v>
      </c>
      <c r="B310">
        <v>2</v>
      </c>
      <c r="C310" t="s">
        <v>396</v>
      </c>
      <c r="D310" t="s">
        <v>310</v>
      </c>
      <c r="E310" t="s">
        <v>311</v>
      </c>
      <c r="F310" t="s">
        <v>326</v>
      </c>
      <c r="G310" t="s">
        <v>32</v>
      </c>
      <c r="H310" t="s">
        <v>16</v>
      </c>
      <c r="I310">
        <v>0</v>
      </c>
      <c r="J310" s="1">
        <v>15700</v>
      </c>
      <c r="K310" s="1">
        <v>15700</v>
      </c>
    </row>
    <row r="311" spans="1:11" x14ac:dyDescent="0.25">
      <c r="A311">
        <v>2026</v>
      </c>
      <c r="B311">
        <v>2</v>
      </c>
      <c r="C311" t="s">
        <v>397</v>
      </c>
      <c r="D311" t="s">
        <v>310</v>
      </c>
      <c r="E311" t="s">
        <v>311</v>
      </c>
      <c r="F311" t="s">
        <v>326</v>
      </c>
      <c r="G311" t="s">
        <v>169</v>
      </c>
      <c r="H311" t="s">
        <v>16</v>
      </c>
      <c r="I311" s="1">
        <v>2130000</v>
      </c>
      <c r="J311" s="1">
        <v>509542.59</v>
      </c>
      <c r="K311" s="1">
        <v>135317.87</v>
      </c>
    </row>
    <row r="312" spans="1:11" x14ac:dyDescent="0.25">
      <c r="A312">
        <v>2026</v>
      </c>
      <c r="B312">
        <v>2</v>
      </c>
      <c r="C312" t="s">
        <v>398</v>
      </c>
      <c r="D312" t="s">
        <v>310</v>
      </c>
      <c r="E312" t="s">
        <v>311</v>
      </c>
      <c r="F312" t="s">
        <v>326</v>
      </c>
      <c r="G312" t="s">
        <v>34</v>
      </c>
      <c r="H312" t="s">
        <v>16</v>
      </c>
      <c r="I312" s="1">
        <v>2570754.44</v>
      </c>
      <c r="J312" s="1">
        <v>577431.54</v>
      </c>
      <c r="K312" s="1">
        <v>81409.119999999995</v>
      </c>
    </row>
    <row r="313" spans="1:11" x14ac:dyDescent="0.25">
      <c r="A313">
        <v>2026</v>
      </c>
      <c r="B313">
        <v>2</v>
      </c>
      <c r="C313" t="s">
        <v>399</v>
      </c>
      <c r="D313" t="s">
        <v>310</v>
      </c>
      <c r="E313" t="s">
        <v>311</v>
      </c>
      <c r="F313" t="s">
        <v>326</v>
      </c>
      <c r="G313" t="s">
        <v>34</v>
      </c>
      <c r="H313" t="s">
        <v>151</v>
      </c>
      <c r="I313">
        <v>0</v>
      </c>
      <c r="J313" s="1">
        <v>585676.79</v>
      </c>
      <c r="K313" s="1">
        <v>606391.1</v>
      </c>
    </row>
    <row r="314" spans="1:11" x14ac:dyDescent="0.25">
      <c r="A314">
        <v>2026</v>
      </c>
      <c r="B314">
        <v>2</v>
      </c>
      <c r="C314" t="s">
        <v>400</v>
      </c>
      <c r="D314" t="s">
        <v>310</v>
      </c>
      <c r="E314" t="s">
        <v>311</v>
      </c>
      <c r="F314" t="s">
        <v>326</v>
      </c>
      <c r="G314" t="s">
        <v>34</v>
      </c>
      <c r="H314" t="s">
        <v>16</v>
      </c>
      <c r="I314" s="1">
        <v>4200</v>
      </c>
      <c r="J314" s="1">
        <v>4200</v>
      </c>
      <c r="K314" s="1">
        <v>4200</v>
      </c>
    </row>
    <row r="315" spans="1:11" x14ac:dyDescent="0.25">
      <c r="A315">
        <v>2026</v>
      </c>
      <c r="B315">
        <v>2</v>
      </c>
      <c r="C315" t="s">
        <v>401</v>
      </c>
      <c r="D315" t="s">
        <v>310</v>
      </c>
      <c r="E315" t="s">
        <v>311</v>
      </c>
      <c r="F315" t="s">
        <v>326</v>
      </c>
      <c r="G315" t="s">
        <v>34</v>
      </c>
      <c r="H315" t="s">
        <v>151</v>
      </c>
      <c r="I315" s="1">
        <v>32994</v>
      </c>
      <c r="J315" s="1">
        <v>44708.81</v>
      </c>
      <c r="K315">
        <v>0</v>
      </c>
    </row>
    <row r="316" spans="1:11" x14ac:dyDescent="0.25">
      <c r="A316">
        <v>2026</v>
      </c>
      <c r="B316">
        <v>2</v>
      </c>
      <c r="C316" t="s">
        <v>402</v>
      </c>
      <c r="D316" t="s">
        <v>310</v>
      </c>
      <c r="E316" t="s">
        <v>311</v>
      </c>
      <c r="F316" t="s">
        <v>326</v>
      </c>
      <c r="G316" t="s">
        <v>70</v>
      </c>
      <c r="H316" t="s">
        <v>151</v>
      </c>
      <c r="I316" s="1">
        <v>388800</v>
      </c>
      <c r="J316" s="1">
        <v>1047616</v>
      </c>
      <c r="K316" s="1">
        <v>1047616</v>
      </c>
    </row>
    <row r="317" spans="1:11" x14ac:dyDescent="0.25">
      <c r="A317">
        <v>2026</v>
      </c>
      <c r="B317">
        <v>2</v>
      </c>
      <c r="C317" t="s">
        <v>403</v>
      </c>
      <c r="D317" t="s">
        <v>310</v>
      </c>
      <c r="E317" t="s">
        <v>311</v>
      </c>
      <c r="F317" t="s">
        <v>326</v>
      </c>
      <c r="G317" t="s">
        <v>44</v>
      </c>
      <c r="H317" t="s">
        <v>16</v>
      </c>
      <c r="I317" s="1">
        <v>160434</v>
      </c>
      <c r="J317" s="1">
        <v>160434</v>
      </c>
      <c r="K317" s="1">
        <v>160434</v>
      </c>
    </row>
    <row r="318" spans="1:11" x14ac:dyDescent="0.25">
      <c r="A318">
        <v>2026</v>
      </c>
      <c r="B318">
        <v>2</v>
      </c>
      <c r="C318" t="s">
        <v>404</v>
      </c>
      <c r="D318" t="s">
        <v>310</v>
      </c>
      <c r="E318" t="s">
        <v>311</v>
      </c>
      <c r="F318" t="s">
        <v>326</v>
      </c>
      <c r="G318" t="s">
        <v>46</v>
      </c>
      <c r="H318" t="s">
        <v>16</v>
      </c>
      <c r="I318" s="1">
        <v>589565.21</v>
      </c>
      <c r="J318" s="1">
        <v>39565.21</v>
      </c>
      <c r="K318" s="1">
        <v>767820.79</v>
      </c>
    </row>
    <row r="319" spans="1:11" x14ac:dyDescent="0.25">
      <c r="A319">
        <v>2026</v>
      </c>
      <c r="B319">
        <v>2</v>
      </c>
      <c r="C319" t="s">
        <v>405</v>
      </c>
      <c r="D319" t="s">
        <v>310</v>
      </c>
      <c r="E319" t="s">
        <v>311</v>
      </c>
      <c r="F319" t="s">
        <v>326</v>
      </c>
      <c r="G319" t="s">
        <v>123</v>
      </c>
      <c r="H319" t="s">
        <v>151</v>
      </c>
      <c r="I319" s="1">
        <v>3220180</v>
      </c>
      <c r="J319">
        <v>0</v>
      </c>
      <c r="K319">
        <v>0</v>
      </c>
    </row>
    <row r="320" spans="1:11" x14ac:dyDescent="0.25">
      <c r="A320">
        <v>2026</v>
      </c>
      <c r="B320">
        <v>2</v>
      </c>
      <c r="C320" t="s">
        <v>406</v>
      </c>
      <c r="D320" t="s">
        <v>310</v>
      </c>
      <c r="E320" t="s">
        <v>311</v>
      </c>
      <c r="F320" t="s">
        <v>326</v>
      </c>
      <c r="G320" t="s">
        <v>123</v>
      </c>
      <c r="H320" t="s">
        <v>324</v>
      </c>
      <c r="I320">
        <v>0</v>
      </c>
      <c r="J320" s="1">
        <v>435129.61</v>
      </c>
      <c r="K320">
        <v>0</v>
      </c>
    </row>
    <row r="321" spans="1:11" x14ac:dyDescent="0.25">
      <c r="A321">
        <v>2026</v>
      </c>
      <c r="B321">
        <v>2</v>
      </c>
      <c r="C321" t="s">
        <v>407</v>
      </c>
      <c r="D321" t="s">
        <v>310</v>
      </c>
      <c r="E321" t="s">
        <v>311</v>
      </c>
      <c r="F321" t="s">
        <v>326</v>
      </c>
      <c r="G321" t="s">
        <v>123</v>
      </c>
      <c r="H321" t="s">
        <v>376</v>
      </c>
      <c r="I321" s="1">
        <v>406890</v>
      </c>
      <c r="J321" s="1">
        <v>83596.08</v>
      </c>
      <c r="K321" s="1">
        <v>83596.08</v>
      </c>
    </row>
    <row r="322" spans="1:11" x14ac:dyDescent="0.25">
      <c r="A322">
        <v>2026</v>
      </c>
      <c r="B322">
        <v>2</v>
      </c>
      <c r="C322" t="s">
        <v>408</v>
      </c>
      <c r="D322" t="s">
        <v>310</v>
      </c>
      <c r="E322" t="s">
        <v>311</v>
      </c>
      <c r="F322" t="s">
        <v>326</v>
      </c>
      <c r="G322" t="s">
        <v>49</v>
      </c>
      <c r="H322" t="s">
        <v>16</v>
      </c>
      <c r="I322" s="1">
        <v>19014.8</v>
      </c>
      <c r="J322">
        <v>0</v>
      </c>
      <c r="K322">
        <v>0</v>
      </c>
    </row>
    <row r="323" spans="1:11" x14ac:dyDescent="0.25">
      <c r="A323">
        <v>2026</v>
      </c>
      <c r="B323">
        <v>2</v>
      </c>
      <c r="C323" t="s">
        <v>409</v>
      </c>
      <c r="D323" t="s">
        <v>310</v>
      </c>
      <c r="E323" t="s">
        <v>311</v>
      </c>
      <c r="F323" t="s">
        <v>326</v>
      </c>
      <c r="G323" t="s">
        <v>49</v>
      </c>
      <c r="H323" t="s">
        <v>324</v>
      </c>
      <c r="I323" s="1">
        <v>17189.7</v>
      </c>
      <c r="J323">
        <v>313.92</v>
      </c>
      <c r="K323">
        <v>313.92</v>
      </c>
    </row>
    <row r="324" spans="1:11" x14ac:dyDescent="0.25">
      <c r="A324">
        <v>2026</v>
      </c>
      <c r="B324">
        <v>2</v>
      </c>
      <c r="C324" t="s">
        <v>410</v>
      </c>
      <c r="D324" t="s">
        <v>310</v>
      </c>
      <c r="E324" t="s">
        <v>311</v>
      </c>
      <c r="F324" t="s">
        <v>358</v>
      </c>
      <c r="G324" t="s">
        <v>15</v>
      </c>
      <c r="H324" t="s">
        <v>16</v>
      </c>
      <c r="I324" s="1">
        <v>5986868.8300000001</v>
      </c>
      <c r="J324" s="1">
        <v>5986868.8300000001</v>
      </c>
      <c r="K324" s="1">
        <v>5930683.6100000003</v>
      </c>
    </row>
    <row r="325" spans="1:11" x14ac:dyDescent="0.25">
      <c r="A325">
        <v>2026</v>
      </c>
      <c r="B325">
        <v>2</v>
      </c>
      <c r="C325" t="s">
        <v>411</v>
      </c>
      <c r="D325" t="s">
        <v>310</v>
      </c>
      <c r="E325" t="s">
        <v>311</v>
      </c>
      <c r="F325" t="s">
        <v>358</v>
      </c>
      <c r="G325" t="s">
        <v>136</v>
      </c>
      <c r="H325" t="s">
        <v>16</v>
      </c>
      <c r="I325" s="1">
        <v>8660.1200000000008</v>
      </c>
      <c r="J325" s="1">
        <v>8660.1200000000008</v>
      </c>
      <c r="K325" s="1">
        <v>8660.1200000000008</v>
      </c>
    </row>
    <row r="326" spans="1:11" x14ac:dyDescent="0.25">
      <c r="A326">
        <v>2026</v>
      </c>
      <c r="B326">
        <v>2</v>
      </c>
      <c r="C326" t="s">
        <v>412</v>
      </c>
      <c r="D326" t="s">
        <v>310</v>
      </c>
      <c r="E326" t="s">
        <v>311</v>
      </c>
      <c r="F326" t="s">
        <v>358</v>
      </c>
      <c r="G326" t="s">
        <v>219</v>
      </c>
      <c r="H326" t="s">
        <v>16</v>
      </c>
      <c r="I326" s="1">
        <v>646521.57999999996</v>
      </c>
      <c r="J326" s="1">
        <v>646521.57999999996</v>
      </c>
      <c r="K326" s="1">
        <v>646521.57999999996</v>
      </c>
    </row>
    <row r="327" spans="1:11" x14ac:dyDescent="0.25">
      <c r="A327">
        <v>2026</v>
      </c>
      <c r="B327">
        <v>2</v>
      </c>
      <c r="C327" t="s">
        <v>413</v>
      </c>
      <c r="D327" t="s">
        <v>310</v>
      </c>
      <c r="E327" t="s">
        <v>311</v>
      </c>
      <c r="F327" t="s">
        <v>358</v>
      </c>
      <c r="G327" t="s">
        <v>225</v>
      </c>
      <c r="H327" t="s">
        <v>16</v>
      </c>
      <c r="I327" s="1">
        <v>205315.46</v>
      </c>
      <c r="J327" s="1">
        <v>205315.46</v>
      </c>
      <c r="K327" s="1">
        <v>205213.59</v>
      </c>
    </row>
    <row r="328" spans="1:11" x14ac:dyDescent="0.25">
      <c r="A328">
        <v>2026</v>
      </c>
      <c r="B328">
        <v>2</v>
      </c>
      <c r="C328" t="s">
        <v>414</v>
      </c>
      <c r="D328" t="s">
        <v>310</v>
      </c>
      <c r="E328" t="s">
        <v>311</v>
      </c>
      <c r="F328" t="s">
        <v>358</v>
      </c>
      <c r="G328" t="s">
        <v>136</v>
      </c>
      <c r="H328" t="s">
        <v>16</v>
      </c>
      <c r="I328" s="1">
        <v>1303620.3600000001</v>
      </c>
      <c r="J328" s="1">
        <v>1303620.3600000001</v>
      </c>
      <c r="K328" s="1">
        <v>1303620.3600000001</v>
      </c>
    </row>
    <row r="329" spans="1:11" x14ac:dyDescent="0.25">
      <c r="A329">
        <v>2026</v>
      </c>
      <c r="B329">
        <v>2</v>
      </c>
      <c r="C329" t="s">
        <v>415</v>
      </c>
      <c r="D329" t="s">
        <v>310</v>
      </c>
      <c r="E329" t="s">
        <v>311</v>
      </c>
      <c r="F329" t="s">
        <v>358</v>
      </c>
      <c r="G329" t="s">
        <v>98</v>
      </c>
      <c r="H329" t="s">
        <v>16</v>
      </c>
      <c r="I329">
        <v>0</v>
      </c>
      <c r="J329" s="1">
        <v>265166.61</v>
      </c>
      <c r="K329" s="1">
        <v>265166.61</v>
      </c>
    </row>
    <row r="330" spans="1:11" x14ac:dyDescent="0.25">
      <c r="A330">
        <v>2026</v>
      </c>
      <c r="B330">
        <v>2</v>
      </c>
      <c r="C330" t="s">
        <v>416</v>
      </c>
      <c r="D330" t="s">
        <v>310</v>
      </c>
      <c r="E330" t="s">
        <v>311</v>
      </c>
      <c r="F330" t="s">
        <v>358</v>
      </c>
      <c r="G330" t="s">
        <v>98</v>
      </c>
      <c r="H330" t="s">
        <v>151</v>
      </c>
      <c r="I330">
        <v>0</v>
      </c>
      <c r="J330" s="1">
        <v>145225.18</v>
      </c>
      <c r="K330" s="1">
        <v>145225.18</v>
      </c>
    </row>
    <row r="331" spans="1:11" x14ac:dyDescent="0.25">
      <c r="A331">
        <v>2026</v>
      </c>
      <c r="B331">
        <v>2</v>
      </c>
      <c r="C331" t="s">
        <v>417</v>
      </c>
      <c r="D331" t="s">
        <v>310</v>
      </c>
      <c r="E331" t="s">
        <v>311</v>
      </c>
      <c r="F331" t="s">
        <v>358</v>
      </c>
      <c r="G331" t="s">
        <v>46</v>
      </c>
      <c r="H331" t="s">
        <v>16</v>
      </c>
      <c r="I331">
        <v>0</v>
      </c>
      <c r="J331">
        <v>0</v>
      </c>
      <c r="K331" s="1">
        <v>265166.61</v>
      </c>
    </row>
    <row r="332" spans="1:11" x14ac:dyDescent="0.25">
      <c r="A332">
        <v>2026</v>
      </c>
      <c r="B332">
        <v>2</v>
      </c>
      <c r="C332" t="s">
        <v>418</v>
      </c>
      <c r="D332" t="s">
        <v>310</v>
      </c>
      <c r="E332" t="s">
        <v>311</v>
      </c>
      <c r="F332" t="s">
        <v>358</v>
      </c>
      <c r="G332" t="s">
        <v>24</v>
      </c>
      <c r="H332" t="s">
        <v>16</v>
      </c>
      <c r="I332" s="1">
        <v>8852.9</v>
      </c>
      <c r="J332" s="1">
        <v>280586.25</v>
      </c>
      <c r="K332" s="1">
        <v>79891.460000000006</v>
      </c>
    </row>
    <row r="333" spans="1:11" x14ac:dyDescent="0.25">
      <c r="A333">
        <v>2026</v>
      </c>
      <c r="B333">
        <v>2</v>
      </c>
      <c r="C333" t="s">
        <v>419</v>
      </c>
      <c r="D333" t="s">
        <v>310</v>
      </c>
      <c r="E333" t="s">
        <v>311</v>
      </c>
      <c r="F333" t="s">
        <v>358</v>
      </c>
      <c r="G333" t="s">
        <v>24</v>
      </c>
      <c r="H333" t="s">
        <v>151</v>
      </c>
      <c r="I333">
        <v>934.8</v>
      </c>
      <c r="J333" s="1">
        <v>14934.8</v>
      </c>
      <c r="K333" s="1">
        <v>70420</v>
      </c>
    </row>
    <row r="334" spans="1:11" x14ac:dyDescent="0.25">
      <c r="A334">
        <v>2026</v>
      </c>
      <c r="B334">
        <v>2</v>
      </c>
      <c r="C334" t="s">
        <v>420</v>
      </c>
      <c r="D334" t="s">
        <v>310</v>
      </c>
      <c r="E334" t="s">
        <v>311</v>
      </c>
      <c r="F334" t="s">
        <v>358</v>
      </c>
      <c r="G334" t="s">
        <v>275</v>
      </c>
      <c r="H334" t="s">
        <v>16</v>
      </c>
      <c r="I334" s="1">
        <v>1627089.44</v>
      </c>
      <c r="J334" s="1">
        <v>845304.57</v>
      </c>
      <c r="K334" s="1">
        <v>382993.1</v>
      </c>
    </row>
    <row r="335" spans="1:11" x14ac:dyDescent="0.25">
      <c r="A335">
        <v>2026</v>
      </c>
      <c r="B335">
        <v>2</v>
      </c>
      <c r="C335" t="s">
        <v>421</v>
      </c>
      <c r="D335" t="s">
        <v>310</v>
      </c>
      <c r="E335" t="s">
        <v>311</v>
      </c>
      <c r="F335" t="s">
        <v>358</v>
      </c>
      <c r="G335" t="s">
        <v>275</v>
      </c>
      <c r="H335" t="s">
        <v>151</v>
      </c>
      <c r="I335" s="1">
        <v>243625.58</v>
      </c>
      <c r="J335" s="1">
        <v>171808.13</v>
      </c>
      <c r="K335" s="1">
        <v>480337.65</v>
      </c>
    </row>
    <row r="336" spans="1:11" x14ac:dyDescent="0.25">
      <c r="A336">
        <v>2026</v>
      </c>
      <c r="B336">
        <v>2</v>
      </c>
      <c r="C336" t="s">
        <v>422</v>
      </c>
      <c r="D336" t="s">
        <v>310</v>
      </c>
      <c r="E336" t="s">
        <v>311</v>
      </c>
      <c r="F336" t="s">
        <v>358</v>
      </c>
      <c r="G336" t="s">
        <v>32</v>
      </c>
      <c r="H336" t="s">
        <v>16</v>
      </c>
      <c r="I336">
        <v>0</v>
      </c>
      <c r="J336" s="1">
        <v>4907.5200000000004</v>
      </c>
      <c r="K336" s="1">
        <v>4907.5200000000004</v>
      </c>
    </row>
    <row r="337" spans="1:11" x14ac:dyDescent="0.25">
      <c r="A337">
        <v>2026</v>
      </c>
      <c r="B337">
        <v>2</v>
      </c>
      <c r="C337" t="s">
        <v>423</v>
      </c>
      <c r="D337" t="s">
        <v>310</v>
      </c>
      <c r="E337" t="s">
        <v>311</v>
      </c>
      <c r="F337" t="s">
        <v>358</v>
      </c>
      <c r="G337" t="s">
        <v>169</v>
      </c>
      <c r="H337" t="s">
        <v>16</v>
      </c>
      <c r="I337" s="1">
        <v>2055000</v>
      </c>
      <c r="J337" s="1">
        <v>1175513.69</v>
      </c>
      <c r="K337" s="1">
        <v>197580.22</v>
      </c>
    </row>
    <row r="338" spans="1:11" x14ac:dyDescent="0.25">
      <c r="A338">
        <v>2026</v>
      </c>
      <c r="B338">
        <v>2</v>
      </c>
      <c r="C338" t="s">
        <v>424</v>
      </c>
      <c r="D338" t="s">
        <v>310</v>
      </c>
      <c r="E338" t="s">
        <v>311</v>
      </c>
      <c r="F338" t="s">
        <v>358</v>
      </c>
      <c r="G338" t="s">
        <v>34</v>
      </c>
      <c r="H338" t="s">
        <v>16</v>
      </c>
      <c r="I338" s="1">
        <v>4748331.8600000003</v>
      </c>
      <c r="J338" s="1">
        <v>6319040.4000000004</v>
      </c>
      <c r="K338" s="1">
        <v>2949428.22</v>
      </c>
    </row>
    <row r="339" spans="1:11" x14ac:dyDescent="0.25">
      <c r="A339">
        <v>2026</v>
      </c>
      <c r="B339">
        <v>2</v>
      </c>
      <c r="C339" t="s">
        <v>425</v>
      </c>
      <c r="D339" t="s">
        <v>310</v>
      </c>
      <c r="E339" t="s">
        <v>311</v>
      </c>
      <c r="F339" t="s">
        <v>358</v>
      </c>
      <c r="G339" t="s">
        <v>34</v>
      </c>
      <c r="H339" t="s">
        <v>56</v>
      </c>
      <c r="I339" s="1">
        <v>104640</v>
      </c>
      <c r="J339" s="1">
        <v>165399.87</v>
      </c>
      <c r="K339">
        <v>175.64</v>
      </c>
    </row>
    <row r="340" spans="1:11" x14ac:dyDescent="0.25">
      <c r="A340">
        <v>2026</v>
      </c>
      <c r="B340">
        <v>2</v>
      </c>
      <c r="C340" t="s">
        <v>426</v>
      </c>
      <c r="D340" t="s">
        <v>310</v>
      </c>
      <c r="E340" t="s">
        <v>311</v>
      </c>
      <c r="F340" t="s">
        <v>358</v>
      </c>
      <c r="G340" t="s">
        <v>34</v>
      </c>
      <c r="H340" t="s">
        <v>151</v>
      </c>
      <c r="I340" s="1">
        <v>140760</v>
      </c>
      <c r="J340" s="1">
        <v>395407.3</v>
      </c>
      <c r="K340">
        <v>0</v>
      </c>
    </row>
    <row r="341" spans="1:11" x14ac:dyDescent="0.25">
      <c r="A341">
        <v>2026</v>
      </c>
      <c r="B341">
        <v>2</v>
      </c>
      <c r="C341" t="s">
        <v>427</v>
      </c>
      <c r="D341" t="s">
        <v>310</v>
      </c>
      <c r="E341" t="s">
        <v>311</v>
      </c>
      <c r="F341" t="s">
        <v>358</v>
      </c>
      <c r="G341" t="s">
        <v>34</v>
      </c>
      <c r="H341" t="s">
        <v>151</v>
      </c>
      <c r="I341">
        <v>0</v>
      </c>
      <c r="J341" s="1">
        <v>198048.56</v>
      </c>
      <c r="K341" s="1">
        <v>198048.56</v>
      </c>
    </row>
    <row r="342" spans="1:11" x14ac:dyDescent="0.25">
      <c r="A342">
        <v>2026</v>
      </c>
      <c r="B342">
        <v>2</v>
      </c>
      <c r="C342" t="s">
        <v>428</v>
      </c>
      <c r="D342" t="s">
        <v>310</v>
      </c>
      <c r="E342" t="s">
        <v>311</v>
      </c>
      <c r="F342" t="s">
        <v>358</v>
      </c>
      <c r="G342" t="s">
        <v>34</v>
      </c>
      <c r="H342" t="s">
        <v>376</v>
      </c>
      <c r="I342" s="1">
        <v>100000</v>
      </c>
      <c r="J342">
        <v>0</v>
      </c>
      <c r="K342">
        <v>0</v>
      </c>
    </row>
    <row r="343" spans="1:11" x14ac:dyDescent="0.25">
      <c r="A343">
        <v>2026</v>
      </c>
      <c r="B343">
        <v>2</v>
      </c>
      <c r="C343" t="s">
        <v>429</v>
      </c>
      <c r="D343" t="s">
        <v>310</v>
      </c>
      <c r="E343" t="s">
        <v>311</v>
      </c>
      <c r="F343" t="s">
        <v>358</v>
      </c>
      <c r="G343" t="s">
        <v>34</v>
      </c>
      <c r="H343" t="s">
        <v>376</v>
      </c>
      <c r="I343" s="1">
        <v>150000</v>
      </c>
      <c r="J343">
        <v>0</v>
      </c>
      <c r="K343">
        <v>0</v>
      </c>
    </row>
    <row r="344" spans="1:11" x14ac:dyDescent="0.25">
      <c r="A344">
        <v>2026</v>
      </c>
      <c r="B344">
        <v>2</v>
      </c>
      <c r="C344" t="s">
        <v>430</v>
      </c>
      <c r="D344" t="s">
        <v>310</v>
      </c>
      <c r="E344" t="s">
        <v>311</v>
      </c>
      <c r="F344" t="s">
        <v>358</v>
      </c>
      <c r="G344" t="s">
        <v>70</v>
      </c>
      <c r="H344" t="s">
        <v>16</v>
      </c>
      <c r="I344" s="1">
        <v>261635.85</v>
      </c>
      <c r="J344" s="1">
        <v>62125.42</v>
      </c>
      <c r="K344">
        <v>0</v>
      </c>
    </row>
    <row r="345" spans="1:11" x14ac:dyDescent="0.25">
      <c r="A345">
        <v>2026</v>
      </c>
      <c r="B345">
        <v>2</v>
      </c>
      <c r="C345" t="s">
        <v>431</v>
      </c>
      <c r="D345" t="s">
        <v>310</v>
      </c>
      <c r="E345" t="s">
        <v>311</v>
      </c>
      <c r="F345" t="s">
        <v>358</v>
      </c>
      <c r="G345" t="s">
        <v>44</v>
      </c>
      <c r="H345" t="s">
        <v>16</v>
      </c>
      <c r="I345" s="1">
        <v>19828.400000000001</v>
      </c>
      <c r="J345" s="1">
        <v>19828.400000000001</v>
      </c>
      <c r="K345" s="1">
        <v>15391.2</v>
      </c>
    </row>
    <row r="346" spans="1:11" x14ac:dyDescent="0.25">
      <c r="A346">
        <v>2026</v>
      </c>
      <c r="B346">
        <v>2</v>
      </c>
      <c r="C346" t="s">
        <v>432</v>
      </c>
      <c r="D346" t="s">
        <v>310</v>
      </c>
      <c r="E346" t="s">
        <v>311</v>
      </c>
      <c r="F346" t="s">
        <v>358</v>
      </c>
      <c r="G346" t="s">
        <v>46</v>
      </c>
      <c r="H346" t="s">
        <v>16</v>
      </c>
      <c r="I346" s="1">
        <v>69163.13</v>
      </c>
      <c r="J346" s="1">
        <v>1952661.05</v>
      </c>
      <c r="K346" s="1">
        <v>9405038.2899999991</v>
      </c>
    </row>
    <row r="347" spans="1:11" x14ac:dyDescent="0.25">
      <c r="A347">
        <v>2026</v>
      </c>
      <c r="B347">
        <v>2</v>
      </c>
      <c r="C347" t="s">
        <v>433</v>
      </c>
      <c r="D347" t="s">
        <v>310</v>
      </c>
      <c r="E347" t="s">
        <v>311</v>
      </c>
      <c r="F347" t="s">
        <v>358</v>
      </c>
      <c r="G347" t="s">
        <v>46</v>
      </c>
      <c r="H347" t="s">
        <v>56</v>
      </c>
      <c r="I347">
        <v>0</v>
      </c>
      <c r="J347" s="1">
        <v>646655.75</v>
      </c>
      <c r="K347" s="1">
        <v>600000</v>
      </c>
    </row>
    <row r="348" spans="1:11" x14ac:dyDescent="0.25">
      <c r="A348">
        <v>2026</v>
      </c>
      <c r="B348">
        <v>2</v>
      </c>
      <c r="C348" t="s">
        <v>434</v>
      </c>
      <c r="D348" t="s">
        <v>310</v>
      </c>
      <c r="E348" t="s">
        <v>311</v>
      </c>
      <c r="F348" t="s">
        <v>358</v>
      </c>
      <c r="G348" t="s">
        <v>123</v>
      </c>
      <c r="H348" t="s">
        <v>16</v>
      </c>
      <c r="I348">
        <v>-1</v>
      </c>
      <c r="J348" s="1">
        <v>49734.2</v>
      </c>
      <c r="K348" s="1">
        <v>49734.2</v>
      </c>
    </row>
    <row r="349" spans="1:11" x14ac:dyDescent="0.25">
      <c r="A349">
        <v>2026</v>
      </c>
      <c r="B349">
        <v>2</v>
      </c>
      <c r="C349" t="s">
        <v>435</v>
      </c>
      <c r="D349" t="s">
        <v>310</v>
      </c>
      <c r="E349" t="s">
        <v>311</v>
      </c>
      <c r="F349" t="s">
        <v>358</v>
      </c>
      <c r="G349" t="s">
        <v>123</v>
      </c>
      <c r="H349" t="s">
        <v>376</v>
      </c>
      <c r="I349" s="1">
        <v>-1106.76</v>
      </c>
      <c r="J349">
        <v>0</v>
      </c>
      <c r="K349" s="1">
        <v>92623.58</v>
      </c>
    </row>
    <row r="350" spans="1:11" x14ac:dyDescent="0.25">
      <c r="A350">
        <v>2026</v>
      </c>
      <c r="B350">
        <v>2</v>
      </c>
      <c r="C350" t="s">
        <v>436</v>
      </c>
      <c r="D350" t="s">
        <v>310</v>
      </c>
      <c r="E350" t="s">
        <v>311</v>
      </c>
      <c r="F350" t="s">
        <v>358</v>
      </c>
      <c r="G350" t="s">
        <v>49</v>
      </c>
      <c r="H350" t="s">
        <v>324</v>
      </c>
      <c r="I350" s="1">
        <v>9499.65</v>
      </c>
      <c r="J350">
        <v>0</v>
      </c>
      <c r="K350" s="1">
        <v>27510</v>
      </c>
    </row>
    <row r="351" spans="1:11" x14ac:dyDescent="0.25">
      <c r="A351">
        <v>2026</v>
      </c>
      <c r="B351">
        <v>2</v>
      </c>
      <c r="C351" t="s">
        <v>437</v>
      </c>
      <c r="D351" t="s">
        <v>438</v>
      </c>
      <c r="E351" t="s">
        <v>439</v>
      </c>
      <c r="F351" t="s">
        <v>14</v>
      </c>
      <c r="G351" t="s">
        <v>15</v>
      </c>
      <c r="H351" t="s">
        <v>16</v>
      </c>
      <c r="I351" s="1">
        <v>904580.03</v>
      </c>
      <c r="J351" s="1">
        <v>904580.03</v>
      </c>
      <c r="K351" s="1">
        <v>904580.03</v>
      </c>
    </row>
    <row r="352" spans="1:11" x14ac:dyDescent="0.25">
      <c r="A352">
        <v>2026</v>
      </c>
      <c r="B352">
        <v>2</v>
      </c>
      <c r="C352" t="s">
        <v>440</v>
      </c>
      <c r="D352" t="s">
        <v>438</v>
      </c>
      <c r="E352" t="s">
        <v>439</v>
      </c>
      <c r="F352" t="s">
        <v>14</v>
      </c>
      <c r="G352" t="s">
        <v>441</v>
      </c>
      <c r="H352" t="s">
        <v>59</v>
      </c>
      <c r="I352">
        <v>0</v>
      </c>
      <c r="J352" s="1">
        <v>364844.79999999999</v>
      </c>
      <c r="K352">
        <v>0</v>
      </c>
    </row>
    <row r="353" spans="1:11" x14ac:dyDescent="0.25">
      <c r="A353">
        <v>2026</v>
      </c>
      <c r="B353">
        <v>2</v>
      </c>
      <c r="C353" t="s">
        <v>442</v>
      </c>
      <c r="D353" t="s">
        <v>438</v>
      </c>
      <c r="E353" t="s">
        <v>439</v>
      </c>
      <c r="F353" t="s">
        <v>14</v>
      </c>
      <c r="G353" t="s">
        <v>24</v>
      </c>
      <c r="H353" t="s">
        <v>59</v>
      </c>
      <c r="I353">
        <v>0</v>
      </c>
      <c r="J353">
        <v>0</v>
      </c>
      <c r="K353">
        <v>83.5</v>
      </c>
    </row>
    <row r="354" spans="1:11" x14ac:dyDescent="0.25">
      <c r="A354">
        <v>2026</v>
      </c>
      <c r="B354">
        <v>2</v>
      </c>
      <c r="C354" t="s">
        <v>443</v>
      </c>
      <c r="D354" t="s">
        <v>438</v>
      </c>
      <c r="E354" t="s">
        <v>439</v>
      </c>
      <c r="F354" t="s">
        <v>14</v>
      </c>
      <c r="G354" t="s">
        <v>24</v>
      </c>
      <c r="H354" t="s">
        <v>59</v>
      </c>
      <c r="I354">
        <v>0</v>
      </c>
      <c r="J354" s="1">
        <v>1487.4</v>
      </c>
      <c r="K354">
        <v>0</v>
      </c>
    </row>
    <row r="355" spans="1:11" x14ac:dyDescent="0.25">
      <c r="A355">
        <v>2026</v>
      </c>
      <c r="B355">
        <v>2</v>
      </c>
      <c r="C355" t="s">
        <v>444</v>
      </c>
      <c r="D355" t="s">
        <v>438</v>
      </c>
      <c r="E355" t="s">
        <v>439</v>
      </c>
      <c r="F355" t="s">
        <v>14</v>
      </c>
      <c r="G355" t="s">
        <v>32</v>
      </c>
      <c r="H355" t="s">
        <v>16</v>
      </c>
      <c r="I355" s="1">
        <v>15554.91</v>
      </c>
      <c r="J355" s="1">
        <v>15554.91</v>
      </c>
      <c r="K355" s="1">
        <v>15554.91</v>
      </c>
    </row>
    <row r="356" spans="1:11" x14ac:dyDescent="0.25">
      <c r="A356">
        <v>2026</v>
      </c>
      <c r="B356">
        <v>2</v>
      </c>
      <c r="C356" t="s">
        <v>445</v>
      </c>
      <c r="D356" t="s">
        <v>438</v>
      </c>
      <c r="E356" t="s">
        <v>439</v>
      </c>
      <c r="F356" t="s">
        <v>14</v>
      </c>
      <c r="G356" t="s">
        <v>32</v>
      </c>
      <c r="H356" t="s">
        <v>59</v>
      </c>
      <c r="I356" s="1">
        <v>8331.44</v>
      </c>
      <c r="J356" s="1">
        <v>8331.44</v>
      </c>
      <c r="K356" s="1">
        <v>8331.44</v>
      </c>
    </row>
    <row r="357" spans="1:11" x14ac:dyDescent="0.25">
      <c r="A357">
        <v>2026</v>
      </c>
      <c r="B357">
        <v>2</v>
      </c>
      <c r="C357" t="s">
        <v>446</v>
      </c>
      <c r="D357" t="s">
        <v>438</v>
      </c>
      <c r="E357" t="s">
        <v>439</v>
      </c>
      <c r="F357" t="s">
        <v>14</v>
      </c>
      <c r="G357" t="s">
        <v>34</v>
      </c>
      <c r="H357" t="s">
        <v>16</v>
      </c>
      <c r="I357" s="1">
        <v>1000</v>
      </c>
      <c r="J357" s="1">
        <v>1000</v>
      </c>
      <c r="K357" s="1">
        <v>1000</v>
      </c>
    </row>
    <row r="358" spans="1:11" x14ac:dyDescent="0.25">
      <c r="A358">
        <v>2026</v>
      </c>
      <c r="B358">
        <v>2</v>
      </c>
      <c r="C358" t="s">
        <v>447</v>
      </c>
      <c r="D358" t="s">
        <v>438</v>
      </c>
      <c r="E358" t="s">
        <v>439</v>
      </c>
      <c r="F358" t="s">
        <v>14</v>
      </c>
      <c r="G358" t="s">
        <v>34</v>
      </c>
      <c r="H358" t="s">
        <v>16</v>
      </c>
      <c r="I358">
        <v>833.14</v>
      </c>
      <c r="J358" s="1">
        <v>1018023.76</v>
      </c>
      <c r="K358" s="1">
        <v>1331716.03</v>
      </c>
    </row>
    <row r="359" spans="1:11" x14ac:dyDescent="0.25">
      <c r="A359">
        <v>2026</v>
      </c>
      <c r="B359">
        <v>2</v>
      </c>
      <c r="C359" t="s">
        <v>448</v>
      </c>
      <c r="D359" t="s">
        <v>438</v>
      </c>
      <c r="E359" t="s">
        <v>439</v>
      </c>
      <c r="F359" t="s">
        <v>14</v>
      </c>
      <c r="G359" t="s">
        <v>34</v>
      </c>
      <c r="H359" t="s">
        <v>59</v>
      </c>
      <c r="I359">
        <v>0</v>
      </c>
      <c r="J359" s="1">
        <v>1107497.03</v>
      </c>
      <c r="K359" s="1">
        <v>995303.07</v>
      </c>
    </row>
    <row r="360" spans="1:11" x14ac:dyDescent="0.25">
      <c r="A360">
        <v>2026</v>
      </c>
      <c r="B360">
        <v>2</v>
      </c>
      <c r="C360" t="s">
        <v>449</v>
      </c>
      <c r="D360" t="s">
        <v>438</v>
      </c>
      <c r="E360" t="s">
        <v>439</v>
      </c>
      <c r="F360" t="s">
        <v>14</v>
      </c>
      <c r="G360" t="s">
        <v>34</v>
      </c>
      <c r="H360" t="s">
        <v>16</v>
      </c>
      <c r="I360" s="1">
        <v>118477.7</v>
      </c>
      <c r="J360" s="1">
        <v>441458.33</v>
      </c>
      <c r="K360" s="1">
        <v>400000</v>
      </c>
    </row>
    <row r="361" spans="1:11" x14ac:dyDescent="0.25">
      <c r="A361">
        <v>2026</v>
      </c>
      <c r="B361">
        <v>2</v>
      </c>
      <c r="C361" t="s">
        <v>450</v>
      </c>
      <c r="D361" t="s">
        <v>438</v>
      </c>
      <c r="E361" t="s">
        <v>439</v>
      </c>
      <c r="F361" t="s">
        <v>14</v>
      </c>
      <c r="G361" t="s">
        <v>34</v>
      </c>
      <c r="H361" t="s">
        <v>59</v>
      </c>
      <c r="I361" s="1">
        <v>550000</v>
      </c>
      <c r="J361" s="1">
        <v>2562378.61</v>
      </c>
      <c r="K361" s="1">
        <v>1715971.72</v>
      </c>
    </row>
    <row r="362" spans="1:11" x14ac:dyDescent="0.25">
      <c r="A362">
        <v>2026</v>
      </c>
      <c r="B362">
        <v>2</v>
      </c>
      <c r="C362" t="s">
        <v>451</v>
      </c>
      <c r="D362" t="s">
        <v>438</v>
      </c>
      <c r="E362" t="s">
        <v>439</v>
      </c>
      <c r="F362" t="s">
        <v>452</v>
      </c>
      <c r="G362" t="s">
        <v>34</v>
      </c>
      <c r="H362" t="s">
        <v>16</v>
      </c>
      <c r="I362" s="1">
        <v>3824253.71</v>
      </c>
      <c r="J362" s="1">
        <v>976295.27</v>
      </c>
      <c r="K362" s="1">
        <v>434733.81</v>
      </c>
    </row>
    <row r="363" spans="1:11" x14ac:dyDescent="0.25">
      <c r="A363">
        <v>2026</v>
      </c>
      <c r="B363">
        <v>2</v>
      </c>
      <c r="C363" t="s">
        <v>453</v>
      </c>
      <c r="D363" t="s">
        <v>438</v>
      </c>
      <c r="E363" t="s">
        <v>439</v>
      </c>
      <c r="F363" t="s">
        <v>452</v>
      </c>
      <c r="G363" t="s">
        <v>34</v>
      </c>
      <c r="H363" t="s">
        <v>59</v>
      </c>
      <c r="I363">
        <v>0</v>
      </c>
      <c r="J363" s="1">
        <v>343010.84</v>
      </c>
      <c r="K363">
        <v>0</v>
      </c>
    </row>
    <row r="364" spans="1:11" x14ac:dyDescent="0.25">
      <c r="A364">
        <v>2026</v>
      </c>
      <c r="B364">
        <v>2</v>
      </c>
      <c r="C364" t="s">
        <v>454</v>
      </c>
      <c r="D364" t="s">
        <v>438</v>
      </c>
      <c r="E364" t="s">
        <v>439</v>
      </c>
      <c r="F364" t="s">
        <v>452</v>
      </c>
      <c r="G364" t="s">
        <v>34</v>
      </c>
      <c r="H364" t="s">
        <v>59</v>
      </c>
      <c r="I364">
        <v>0</v>
      </c>
      <c r="J364" s="1">
        <v>371250</v>
      </c>
      <c r="K364" s="1">
        <v>92100</v>
      </c>
    </row>
    <row r="365" spans="1:11" x14ac:dyDescent="0.25">
      <c r="A365">
        <v>2026</v>
      </c>
      <c r="B365">
        <v>2</v>
      </c>
      <c r="C365" t="s">
        <v>455</v>
      </c>
      <c r="D365" t="s">
        <v>438</v>
      </c>
      <c r="E365" t="s">
        <v>439</v>
      </c>
      <c r="F365" t="s">
        <v>14</v>
      </c>
      <c r="G365" t="s">
        <v>46</v>
      </c>
      <c r="H365" t="s">
        <v>16</v>
      </c>
      <c r="I365">
        <v>0</v>
      </c>
      <c r="J365">
        <v>0</v>
      </c>
      <c r="K365">
        <v>328</v>
      </c>
    </row>
    <row r="366" spans="1:11" x14ac:dyDescent="0.25">
      <c r="A366">
        <v>2026</v>
      </c>
      <c r="B366">
        <v>2</v>
      </c>
      <c r="C366" t="s">
        <v>456</v>
      </c>
      <c r="D366" t="s">
        <v>438</v>
      </c>
      <c r="E366" t="s">
        <v>439</v>
      </c>
      <c r="F366" t="s">
        <v>14</v>
      </c>
      <c r="G366" t="s">
        <v>46</v>
      </c>
      <c r="H366" t="s">
        <v>16</v>
      </c>
      <c r="I366">
        <v>0</v>
      </c>
      <c r="J366" s="1">
        <v>244503.92</v>
      </c>
      <c r="K366" s="1">
        <v>1670718.45</v>
      </c>
    </row>
    <row r="367" spans="1:11" x14ac:dyDescent="0.25">
      <c r="A367">
        <v>2026</v>
      </c>
      <c r="B367">
        <v>2</v>
      </c>
      <c r="C367" t="s">
        <v>457</v>
      </c>
      <c r="D367" t="s">
        <v>438</v>
      </c>
      <c r="E367" t="s">
        <v>439</v>
      </c>
      <c r="F367" t="s">
        <v>452</v>
      </c>
      <c r="G367" t="s">
        <v>46</v>
      </c>
      <c r="H367" t="s">
        <v>16</v>
      </c>
      <c r="I367">
        <v>0</v>
      </c>
      <c r="J367" s="1">
        <v>12499.5</v>
      </c>
      <c r="K367" s="1">
        <v>400000</v>
      </c>
    </row>
    <row r="368" spans="1:11" x14ac:dyDescent="0.25">
      <c r="A368">
        <v>2026</v>
      </c>
      <c r="B368">
        <v>2</v>
      </c>
      <c r="C368" t="s">
        <v>458</v>
      </c>
      <c r="D368" t="s">
        <v>438</v>
      </c>
      <c r="E368" t="s">
        <v>439</v>
      </c>
      <c r="F368" t="s">
        <v>14</v>
      </c>
      <c r="G368" t="s">
        <v>197</v>
      </c>
      <c r="H368" t="s">
        <v>59</v>
      </c>
      <c r="I368" s="1">
        <v>1564.9</v>
      </c>
      <c r="J368" s="1">
        <v>1564.9</v>
      </c>
      <c r="K368">
        <v>522.22</v>
      </c>
    </row>
    <row r="369" spans="1:11" x14ac:dyDescent="0.25">
      <c r="A369">
        <v>2026</v>
      </c>
      <c r="B369">
        <v>2</v>
      </c>
      <c r="C369" t="s">
        <v>459</v>
      </c>
      <c r="D369" t="s">
        <v>438</v>
      </c>
      <c r="E369" t="s">
        <v>439</v>
      </c>
      <c r="F369" t="s">
        <v>452</v>
      </c>
      <c r="G369" t="s">
        <v>197</v>
      </c>
      <c r="H369" t="s">
        <v>16</v>
      </c>
      <c r="I369" s="1">
        <v>14310552.84</v>
      </c>
      <c r="J369" s="1">
        <v>14310552.84</v>
      </c>
      <c r="K369" s="1">
        <v>14310552.84</v>
      </c>
    </row>
    <row r="370" spans="1:11" x14ac:dyDescent="0.25">
      <c r="A370">
        <v>2026</v>
      </c>
      <c r="B370">
        <v>2</v>
      </c>
      <c r="C370" t="s">
        <v>460</v>
      </c>
      <c r="D370" t="s">
        <v>438</v>
      </c>
      <c r="E370" t="s">
        <v>439</v>
      </c>
      <c r="F370" t="s">
        <v>116</v>
      </c>
      <c r="G370" t="s">
        <v>123</v>
      </c>
      <c r="H370" t="s">
        <v>16</v>
      </c>
      <c r="I370" s="1">
        <v>3280000</v>
      </c>
      <c r="J370" s="1">
        <v>1847875.96</v>
      </c>
      <c r="K370" s="1">
        <v>1847875.96</v>
      </c>
    </row>
    <row r="371" spans="1:11" x14ac:dyDescent="0.25">
      <c r="A371">
        <v>2026</v>
      </c>
      <c r="B371">
        <v>2</v>
      </c>
      <c r="C371" t="s">
        <v>461</v>
      </c>
      <c r="D371" t="s">
        <v>438</v>
      </c>
      <c r="E371" t="s">
        <v>439</v>
      </c>
      <c r="F371" t="s">
        <v>116</v>
      </c>
      <c r="G371" t="s">
        <v>123</v>
      </c>
      <c r="H371" t="s">
        <v>376</v>
      </c>
      <c r="I371" s="1">
        <v>1980000</v>
      </c>
      <c r="J371">
        <v>0</v>
      </c>
      <c r="K371">
        <v>0</v>
      </c>
    </row>
    <row r="372" spans="1:11" x14ac:dyDescent="0.25">
      <c r="A372">
        <v>2026</v>
      </c>
      <c r="B372">
        <v>2</v>
      </c>
      <c r="C372" t="s">
        <v>462</v>
      </c>
      <c r="D372" t="s">
        <v>438</v>
      </c>
      <c r="E372" t="s">
        <v>439</v>
      </c>
      <c r="F372" t="s">
        <v>116</v>
      </c>
      <c r="G372" t="s">
        <v>46</v>
      </c>
      <c r="H372" t="s">
        <v>16</v>
      </c>
      <c r="I372">
        <v>0</v>
      </c>
      <c r="J372" s="1">
        <v>6549793.4400000004</v>
      </c>
      <c r="K372" s="1">
        <v>6549793.4400000004</v>
      </c>
    </row>
    <row r="373" spans="1:11" x14ac:dyDescent="0.25">
      <c r="A373">
        <v>2026</v>
      </c>
      <c r="B373">
        <v>2</v>
      </c>
      <c r="C373" t="s">
        <v>463</v>
      </c>
      <c r="D373" t="s">
        <v>464</v>
      </c>
      <c r="E373" t="s">
        <v>13</v>
      </c>
      <c r="F373" t="s">
        <v>14</v>
      </c>
      <c r="G373" t="s">
        <v>15</v>
      </c>
      <c r="H373" t="s">
        <v>16</v>
      </c>
      <c r="I373" s="1">
        <v>308278.17</v>
      </c>
      <c r="J373" s="1">
        <v>308278.17</v>
      </c>
      <c r="K373" s="1">
        <v>308278.17</v>
      </c>
    </row>
    <row r="374" spans="1:11" x14ac:dyDescent="0.25">
      <c r="A374">
        <v>2026</v>
      </c>
      <c r="B374">
        <v>2</v>
      </c>
      <c r="C374" t="s">
        <v>465</v>
      </c>
      <c r="D374" t="s">
        <v>464</v>
      </c>
      <c r="E374" t="s">
        <v>466</v>
      </c>
      <c r="F374" t="s">
        <v>467</v>
      </c>
      <c r="G374" t="s">
        <v>20</v>
      </c>
      <c r="H374" t="s">
        <v>16</v>
      </c>
      <c r="I374" s="1">
        <v>8726000</v>
      </c>
      <c r="J374">
        <v>0</v>
      </c>
      <c r="K374">
        <v>0</v>
      </c>
    </row>
    <row r="375" spans="1:11" x14ac:dyDescent="0.25">
      <c r="A375">
        <v>2026</v>
      </c>
      <c r="B375">
        <v>2</v>
      </c>
      <c r="C375" t="s">
        <v>468</v>
      </c>
      <c r="D375" t="s">
        <v>464</v>
      </c>
      <c r="E375" t="s">
        <v>469</v>
      </c>
      <c r="F375" t="s">
        <v>470</v>
      </c>
      <c r="G375" t="s">
        <v>24</v>
      </c>
      <c r="H375" t="s">
        <v>16</v>
      </c>
      <c r="I375">
        <v>-66.8</v>
      </c>
      <c r="J375">
        <v>330</v>
      </c>
      <c r="K375">
        <v>127.45</v>
      </c>
    </row>
    <row r="376" spans="1:11" x14ac:dyDescent="0.25">
      <c r="A376">
        <v>2026</v>
      </c>
      <c r="B376">
        <v>2</v>
      </c>
      <c r="C376" t="s">
        <v>471</v>
      </c>
      <c r="D376" t="s">
        <v>464</v>
      </c>
      <c r="E376" t="s">
        <v>466</v>
      </c>
      <c r="F376" t="s">
        <v>467</v>
      </c>
      <c r="G376" t="s">
        <v>24</v>
      </c>
      <c r="H376" t="s">
        <v>16</v>
      </c>
      <c r="I376" s="1">
        <v>2922</v>
      </c>
      <c r="J376">
        <v>0</v>
      </c>
      <c r="K376">
        <v>8.35</v>
      </c>
    </row>
    <row r="377" spans="1:11" x14ac:dyDescent="0.25">
      <c r="A377">
        <v>2026</v>
      </c>
      <c r="B377">
        <v>2</v>
      </c>
      <c r="C377" t="s">
        <v>472</v>
      </c>
      <c r="D377" t="s">
        <v>464</v>
      </c>
      <c r="E377" t="s">
        <v>473</v>
      </c>
      <c r="F377" t="s">
        <v>474</v>
      </c>
      <c r="G377" t="s">
        <v>24</v>
      </c>
      <c r="H377" t="s">
        <v>16</v>
      </c>
      <c r="I377">
        <v>532.76</v>
      </c>
      <c r="J377">
        <v>0</v>
      </c>
      <c r="K377">
        <v>0</v>
      </c>
    </row>
    <row r="378" spans="1:11" x14ac:dyDescent="0.25">
      <c r="A378">
        <v>2026</v>
      </c>
      <c r="B378">
        <v>2</v>
      </c>
      <c r="C378" t="s">
        <v>475</v>
      </c>
      <c r="D378" t="s">
        <v>464</v>
      </c>
      <c r="E378" t="s">
        <v>13</v>
      </c>
      <c r="F378" t="s">
        <v>14</v>
      </c>
      <c r="G378" t="s">
        <v>32</v>
      </c>
      <c r="H378" t="s">
        <v>16</v>
      </c>
      <c r="I378" s="1">
        <v>9114.27</v>
      </c>
      <c r="J378" s="1">
        <v>9114.27</v>
      </c>
      <c r="K378" s="1">
        <v>9114.27</v>
      </c>
    </row>
    <row r="379" spans="1:11" x14ac:dyDescent="0.25">
      <c r="A379">
        <v>2026</v>
      </c>
      <c r="B379">
        <v>2</v>
      </c>
      <c r="C379" t="s">
        <v>476</v>
      </c>
      <c r="D379" t="s">
        <v>464</v>
      </c>
      <c r="E379" t="s">
        <v>13</v>
      </c>
      <c r="F379" t="s">
        <v>14</v>
      </c>
      <c r="G379" t="s">
        <v>34</v>
      </c>
      <c r="H379" t="s">
        <v>16</v>
      </c>
      <c r="I379">
        <v>0</v>
      </c>
      <c r="J379">
        <v>0</v>
      </c>
      <c r="K379" s="1">
        <v>1000</v>
      </c>
    </row>
    <row r="380" spans="1:11" x14ac:dyDescent="0.25">
      <c r="A380">
        <v>2026</v>
      </c>
      <c r="B380">
        <v>2</v>
      </c>
      <c r="C380" t="s">
        <v>477</v>
      </c>
      <c r="D380" t="s">
        <v>464</v>
      </c>
      <c r="E380" t="s">
        <v>469</v>
      </c>
      <c r="F380" t="s">
        <v>470</v>
      </c>
      <c r="G380" t="s">
        <v>34</v>
      </c>
      <c r="H380" t="s">
        <v>16</v>
      </c>
      <c r="I380">
        <v>0</v>
      </c>
      <c r="J380" s="1">
        <v>4552.9799999999996</v>
      </c>
      <c r="K380">
        <v>0</v>
      </c>
    </row>
    <row r="381" spans="1:11" x14ac:dyDescent="0.25">
      <c r="A381">
        <v>2026</v>
      </c>
      <c r="B381">
        <v>2</v>
      </c>
      <c r="C381" t="s">
        <v>478</v>
      </c>
      <c r="D381" t="s">
        <v>464</v>
      </c>
      <c r="E381" t="s">
        <v>469</v>
      </c>
      <c r="F381" t="s">
        <v>470</v>
      </c>
      <c r="G381" t="s">
        <v>34</v>
      </c>
      <c r="H381" t="s">
        <v>16</v>
      </c>
      <c r="I381">
        <v>450</v>
      </c>
      <c r="J381" s="1">
        <v>51447.3</v>
      </c>
      <c r="K381" s="1">
        <v>31795.87</v>
      </c>
    </row>
    <row r="382" spans="1:11" x14ac:dyDescent="0.25">
      <c r="A382">
        <v>2026</v>
      </c>
      <c r="B382">
        <v>2</v>
      </c>
      <c r="C382" t="s">
        <v>479</v>
      </c>
      <c r="D382" t="s">
        <v>464</v>
      </c>
      <c r="E382" t="s">
        <v>466</v>
      </c>
      <c r="F382" t="s">
        <v>467</v>
      </c>
      <c r="G382" t="s">
        <v>34</v>
      </c>
      <c r="H382" t="s">
        <v>16</v>
      </c>
      <c r="I382">
        <v>0</v>
      </c>
      <c r="J382" s="1">
        <v>4647.13</v>
      </c>
      <c r="K382" s="1">
        <v>1749.48</v>
      </c>
    </row>
    <row r="383" spans="1:11" x14ac:dyDescent="0.25">
      <c r="A383">
        <v>2026</v>
      </c>
      <c r="B383">
        <v>2</v>
      </c>
      <c r="C383" t="s">
        <v>480</v>
      </c>
      <c r="D383" t="s">
        <v>464</v>
      </c>
      <c r="E383" t="s">
        <v>473</v>
      </c>
      <c r="F383" t="s">
        <v>474</v>
      </c>
      <c r="G383" t="s">
        <v>34</v>
      </c>
      <c r="H383" t="s">
        <v>16</v>
      </c>
      <c r="I383" s="1">
        <v>101890</v>
      </c>
      <c r="J383" s="1">
        <v>18550</v>
      </c>
      <c r="K383" s="1">
        <v>1075</v>
      </c>
    </row>
    <row r="384" spans="1:11" x14ac:dyDescent="0.25">
      <c r="A384">
        <v>2026</v>
      </c>
      <c r="B384">
        <v>2</v>
      </c>
      <c r="C384" t="s">
        <v>481</v>
      </c>
      <c r="D384" t="s">
        <v>464</v>
      </c>
      <c r="E384" t="s">
        <v>13</v>
      </c>
      <c r="F384" t="s">
        <v>14</v>
      </c>
      <c r="G384" t="s">
        <v>441</v>
      </c>
      <c r="H384" t="s">
        <v>16</v>
      </c>
      <c r="I384" s="1">
        <v>20000</v>
      </c>
      <c r="J384" s="1">
        <v>20000</v>
      </c>
      <c r="K384" s="1">
        <v>20000</v>
      </c>
    </row>
    <row r="385" spans="1:11" x14ac:dyDescent="0.25">
      <c r="A385">
        <v>2026</v>
      </c>
      <c r="B385">
        <v>2</v>
      </c>
      <c r="C385" t="s">
        <v>482</v>
      </c>
      <c r="D385" t="s">
        <v>464</v>
      </c>
      <c r="E385" t="s">
        <v>466</v>
      </c>
      <c r="F385" t="s">
        <v>467</v>
      </c>
      <c r="G385" t="s">
        <v>49</v>
      </c>
      <c r="H385" t="s">
        <v>16</v>
      </c>
      <c r="I385" s="1">
        <v>1045</v>
      </c>
      <c r="J385">
        <v>0</v>
      </c>
      <c r="K385">
        <v>0</v>
      </c>
    </row>
    <row r="386" spans="1:11" x14ac:dyDescent="0.25">
      <c r="A386">
        <v>2026</v>
      </c>
      <c r="B386">
        <v>2</v>
      </c>
      <c r="C386" t="s">
        <v>483</v>
      </c>
      <c r="D386" t="s">
        <v>464</v>
      </c>
      <c r="E386" t="s">
        <v>473</v>
      </c>
      <c r="F386" t="s">
        <v>474</v>
      </c>
      <c r="G386" t="s">
        <v>484</v>
      </c>
      <c r="H386" t="s">
        <v>59</v>
      </c>
      <c r="I386" s="1">
        <v>606177.36</v>
      </c>
      <c r="J386" s="1">
        <v>606177.36</v>
      </c>
      <c r="K386" s="1">
        <v>101029.56</v>
      </c>
    </row>
    <row r="387" spans="1:11" x14ac:dyDescent="0.25">
      <c r="A387">
        <v>2026</v>
      </c>
      <c r="B387">
        <v>2</v>
      </c>
      <c r="C387" t="s">
        <v>485</v>
      </c>
      <c r="D387" t="s">
        <v>486</v>
      </c>
      <c r="E387" t="s">
        <v>487</v>
      </c>
      <c r="F387" t="s">
        <v>488</v>
      </c>
      <c r="G387" t="s">
        <v>15</v>
      </c>
      <c r="H387" t="s">
        <v>16</v>
      </c>
      <c r="I387" s="1">
        <v>3906163.19</v>
      </c>
      <c r="J387" s="1">
        <v>3906163.19</v>
      </c>
      <c r="K387" s="1">
        <v>3906163.19</v>
      </c>
    </row>
    <row r="388" spans="1:11" x14ac:dyDescent="0.25">
      <c r="A388">
        <v>2026</v>
      </c>
      <c r="B388">
        <v>2</v>
      </c>
      <c r="C388" t="s">
        <v>489</v>
      </c>
      <c r="D388" t="s">
        <v>486</v>
      </c>
      <c r="E388" t="s">
        <v>487</v>
      </c>
      <c r="F388" t="s">
        <v>488</v>
      </c>
      <c r="G388" t="s">
        <v>15</v>
      </c>
      <c r="H388" t="s">
        <v>324</v>
      </c>
      <c r="I388" s="1">
        <v>23860</v>
      </c>
      <c r="J388" s="1">
        <v>23860</v>
      </c>
      <c r="K388" s="1">
        <v>23860</v>
      </c>
    </row>
    <row r="389" spans="1:11" x14ac:dyDescent="0.25">
      <c r="A389">
        <v>2026</v>
      </c>
      <c r="B389">
        <v>2</v>
      </c>
      <c r="C389" t="s">
        <v>490</v>
      </c>
      <c r="D389" t="s">
        <v>486</v>
      </c>
      <c r="E389" t="s">
        <v>487</v>
      </c>
      <c r="F389" t="s">
        <v>488</v>
      </c>
      <c r="G389" t="s">
        <v>98</v>
      </c>
      <c r="H389" t="s">
        <v>16</v>
      </c>
      <c r="I389">
        <v>0</v>
      </c>
      <c r="J389">
        <v>0</v>
      </c>
      <c r="K389" s="1">
        <v>69930</v>
      </c>
    </row>
    <row r="390" spans="1:11" x14ac:dyDescent="0.25">
      <c r="A390">
        <v>2026</v>
      </c>
      <c r="B390">
        <v>2</v>
      </c>
      <c r="C390" t="s">
        <v>491</v>
      </c>
      <c r="D390" t="s">
        <v>486</v>
      </c>
      <c r="E390" t="s">
        <v>487</v>
      </c>
      <c r="F390" t="s">
        <v>488</v>
      </c>
      <c r="G390" t="s">
        <v>46</v>
      </c>
      <c r="H390" t="s">
        <v>16</v>
      </c>
      <c r="I390">
        <v>0</v>
      </c>
      <c r="J390">
        <v>0</v>
      </c>
      <c r="K390" s="1">
        <v>117920</v>
      </c>
    </row>
    <row r="391" spans="1:11" x14ac:dyDescent="0.25">
      <c r="A391">
        <v>2026</v>
      </c>
      <c r="B391">
        <v>2</v>
      </c>
      <c r="C391" t="s">
        <v>492</v>
      </c>
      <c r="D391" t="s">
        <v>486</v>
      </c>
      <c r="E391" t="s">
        <v>487</v>
      </c>
      <c r="F391" t="s">
        <v>488</v>
      </c>
      <c r="G391" t="s">
        <v>22</v>
      </c>
      <c r="H391" t="s">
        <v>16</v>
      </c>
      <c r="I391">
        <v>0</v>
      </c>
      <c r="J391">
        <v>0</v>
      </c>
      <c r="K391">
        <v>540</v>
      </c>
    </row>
    <row r="392" spans="1:11" x14ac:dyDescent="0.25">
      <c r="A392">
        <v>2026</v>
      </c>
      <c r="B392">
        <v>2</v>
      </c>
      <c r="C392" t="s">
        <v>493</v>
      </c>
      <c r="D392" t="s">
        <v>486</v>
      </c>
      <c r="E392" t="s">
        <v>487</v>
      </c>
      <c r="F392" t="s">
        <v>488</v>
      </c>
      <c r="G392" t="s">
        <v>24</v>
      </c>
      <c r="H392" t="s">
        <v>16</v>
      </c>
      <c r="I392" s="1">
        <v>3000</v>
      </c>
      <c r="J392" s="1">
        <v>3000</v>
      </c>
      <c r="K392" s="1">
        <v>3000</v>
      </c>
    </row>
    <row r="393" spans="1:11" x14ac:dyDescent="0.25">
      <c r="A393">
        <v>2026</v>
      </c>
      <c r="B393">
        <v>2</v>
      </c>
      <c r="C393" t="s">
        <v>494</v>
      </c>
      <c r="D393" t="s">
        <v>486</v>
      </c>
      <c r="E393" t="s">
        <v>487</v>
      </c>
      <c r="F393" t="s">
        <v>488</v>
      </c>
      <c r="G393" t="s">
        <v>24</v>
      </c>
      <c r="H393" t="s">
        <v>16</v>
      </c>
      <c r="I393" s="1">
        <v>11007.79</v>
      </c>
      <c r="J393" s="1">
        <v>2520.1799999999998</v>
      </c>
      <c r="K393">
        <v>0</v>
      </c>
    </row>
    <row r="394" spans="1:11" x14ac:dyDescent="0.25">
      <c r="A394">
        <v>2026</v>
      </c>
      <c r="B394">
        <v>2</v>
      </c>
      <c r="C394" t="s">
        <v>495</v>
      </c>
      <c r="D394" t="s">
        <v>486</v>
      </c>
      <c r="E394" t="s">
        <v>487</v>
      </c>
      <c r="F394" t="s">
        <v>488</v>
      </c>
      <c r="G394" t="s">
        <v>24</v>
      </c>
      <c r="H394" t="s">
        <v>16</v>
      </c>
      <c r="I394" s="1">
        <v>16721.400000000001</v>
      </c>
      <c r="J394" s="1">
        <v>16206.89</v>
      </c>
      <c r="K394" s="1">
        <v>15719.8</v>
      </c>
    </row>
    <row r="395" spans="1:11" x14ac:dyDescent="0.25">
      <c r="A395">
        <v>2026</v>
      </c>
      <c r="B395">
        <v>2</v>
      </c>
      <c r="C395" t="s">
        <v>496</v>
      </c>
      <c r="D395" t="s">
        <v>486</v>
      </c>
      <c r="E395" t="s">
        <v>487</v>
      </c>
      <c r="F395" t="s">
        <v>488</v>
      </c>
      <c r="G395" t="s">
        <v>24</v>
      </c>
      <c r="H395" t="s">
        <v>16</v>
      </c>
      <c r="I395" s="1">
        <v>7841.5</v>
      </c>
      <c r="J395" s="1">
        <v>10125.15</v>
      </c>
      <c r="K395">
        <v>650.5</v>
      </c>
    </row>
    <row r="396" spans="1:11" x14ac:dyDescent="0.25">
      <c r="A396">
        <v>2026</v>
      </c>
      <c r="B396">
        <v>2</v>
      </c>
      <c r="C396" t="s">
        <v>497</v>
      </c>
      <c r="D396" t="s">
        <v>486</v>
      </c>
      <c r="E396" t="s">
        <v>487</v>
      </c>
      <c r="F396" t="s">
        <v>488</v>
      </c>
      <c r="G396" t="s">
        <v>24</v>
      </c>
      <c r="H396" t="s">
        <v>16</v>
      </c>
      <c r="I396">
        <v>0</v>
      </c>
      <c r="J396">
        <v>504</v>
      </c>
      <c r="K396">
        <v>169.32</v>
      </c>
    </row>
    <row r="397" spans="1:11" x14ac:dyDescent="0.25">
      <c r="A397">
        <v>2026</v>
      </c>
      <c r="B397">
        <v>2</v>
      </c>
      <c r="C397" t="s">
        <v>498</v>
      </c>
      <c r="D397" t="s">
        <v>486</v>
      </c>
      <c r="E397" t="s">
        <v>487</v>
      </c>
      <c r="F397" t="s">
        <v>488</v>
      </c>
      <c r="G397" t="s">
        <v>366</v>
      </c>
      <c r="H397" t="s">
        <v>16</v>
      </c>
      <c r="I397" s="1">
        <v>326100.64</v>
      </c>
      <c r="J397" s="1">
        <v>326100.64</v>
      </c>
      <c r="K397" s="1">
        <v>326100.64</v>
      </c>
    </row>
    <row r="398" spans="1:11" x14ac:dyDescent="0.25">
      <c r="A398">
        <v>2026</v>
      </c>
      <c r="B398">
        <v>2</v>
      </c>
      <c r="C398" t="s">
        <v>499</v>
      </c>
      <c r="D398" t="s">
        <v>486</v>
      </c>
      <c r="E398" t="s">
        <v>487</v>
      </c>
      <c r="F398" t="s">
        <v>488</v>
      </c>
      <c r="G398" t="s">
        <v>32</v>
      </c>
      <c r="H398" t="s">
        <v>16</v>
      </c>
      <c r="I398" s="1">
        <v>4655.7700000000004</v>
      </c>
      <c r="J398" s="1">
        <v>4655.7700000000004</v>
      </c>
      <c r="K398" s="1">
        <v>4655.7700000000004</v>
      </c>
    </row>
    <row r="399" spans="1:11" x14ac:dyDescent="0.25">
      <c r="A399">
        <v>2026</v>
      </c>
      <c r="B399">
        <v>2</v>
      </c>
      <c r="C399" t="s">
        <v>500</v>
      </c>
      <c r="D399" t="s">
        <v>486</v>
      </c>
      <c r="E399" t="s">
        <v>487</v>
      </c>
      <c r="F399" t="s">
        <v>488</v>
      </c>
      <c r="G399" t="s">
        <v>32</v>
      </c>
      <c r="H399" t="s">
        <v>16</v>
      </c>
      <c r="I399">
        <v>0</v>
      </c>
      <c r="J399" s="1">
        <v>4400</v>
      </c>
      <c r="K399" s="1">
        <v>4400</v>
      </c>
    </row>
    <row r="400" spans="1:11" x14ac:dyDescent="0.25">
      <c r="A400">
        <v>2026</v>
      </c>
      <c r="B400">
        <v>2</v>
      </c>
      <c r="C400" t="s">
        <v>501</v>
      </c>
      <c r="D400" t="s">
        <v>486</v>
      </c>
      <c r="E400" t="s">
        <v>487</v>
      </c>
      <c r="F400" t="s">
        <v>488</v>
      </c>
      <c r="G400" t="s">
        <v>34</v>
      </c>
      <c r="H400" t="s">
        <v>16</v>
      </c>
      <c r="I400" s="1">
        <v>1357.89</v>
      </c>
      <c r="J400" s="1">
        <v>1357.89</v>
      </c>
      <c r="K400" s="1">
        <v>3557.89</v>
      </c>
    </row>
    <row r="401" spans="1:11" x14ac:dyDescent="0.25">
      <c r="A401">
        <v>2026</v>
      </c>
      <c r="B401">
        <v>2</v>
      </c>
      <c r="C401" t="s">
        <v>502</v>
      </c>
      <c r="D401" t="s">
        <v>486</v>
      </c>
      <c r="E401" t="s">
        <v>487</v>
      </c>
      <c r="F401" t="s">
        <v>488</v>
      </c>
      <c r="G401" t="s">
        <v>34</v>
      </c>
      <c r="H401" t="s">
        <v>16</v>
      </c>
      <c r="I401" s="1">
        <v>693178.18</v>
      </c>
      <c r="J401" s="1">
        <v>240194.11</v>
      </c>
      <c r="K401" s="1">
        <v>16356.62</v>
      </c>
    </row>
    <row r="402" spans="1:11" x14ac:dyDescent="0.25">
      <c r="A402">
        <v>2026</v>
      </c>
      <c r="B402">
        <v>2</v>
      </c>
      <c r="C402" t="s">
        <v>503</v>
      </c>
      <c r="D402" t="s">
        <v>486</v>
      </c>
      <c r="E402" t="s">
        <v>487</v>
      </c>
      <c r="F402" t="s">
        <v>488</v>
      </c>
      <c r="G402" t="s">
        <v>34</v>
      </c>
      <c r="H402" t="s">
        <v>16</v>
      </c>
      <c r="I402" s="1">
        <v>368247.39</v>
      </c>
      <c r="J402" s="1">
        <v>226708.14</v>
      </c>
      <c r="K402">
        <v>524</v>
      </c>
    </row>
    <row r="403" spans="1:11" x14ac:dyDescent="0.25">
      <c r="A403">
        <v>2026</v>
      </c>
      <c r="B403">
        <v>2</v>
      </c>
      <c r="C403" t="s">
        <v>504</v>
      </c>
      <c r="D403" t="s">
        <v>486</v>
      </c>
      <c r="E403" t="s">
        <v>487</v>
      </c>
      <c r="F403" t="s">
        <v>488</v>
      </c>
      <c r="G403" t="s">
        <v>34</v>
      </c>
      <c r="H403" t="s">
        <v>16</v>
      </c>
      <c r="I403" s="1">
        <v>1609443.97</v>
      </c>
      <c r="J403" s="1">
        <v>293092.56</v>
      </c>
      <c r="K403" s="1">
        <v>75903.929999999993</v>
      </c>
    </row>
    <row r="404" spans="1:11" x14ac:dyDescent="0.25">
      <c r="A404">
        <v>2026</v>
      </c>
      <c r="B404">
        <v>2</v>
      </c>
      <c r="C404" t="s">
        <v>505</v>
      </c>
      <c r="D404" t="s">
        <v>486</v>
      </c>
      <c r="E404" t="s">
        <v>487</v>
      </c>
      <c r="F404" t="s">
        <v>488</v>
      </c>
      <c r="G404" t="s">
        <v>34</v>
      </c>
      <c r="H404" t="s">
        <v>16</v>
      </c>
      <c r="I404" s="1">
        <v>73979.179999999993</v>
      </c>
      <c r="J404" s="1">
        <v>36989.589999999997</v>
      </c>
      <c r="K404" s="1">
        <v>15511.76</v>
      </c>
    </row>
    <row r="405" spans="1:11" x14ac:dyDescent="0.25">
      <c r="A405">
        <v>2026</v>
      </c>
      <c r="B405">
        <v>2</v>
      </c>
      <c r="C405" t="s">
        <v>506</v>
      </c>
      <c r="D405" t="s">
        <v>486</v>
      </c>
      <c r="E405" t="s">
        <v>487</v>
      </c>
      <c r="F405" t="s">
        <v>488</v>
      </c>
      <c r="G405" t="s">
        <v>46</v>
      </c>
      <c r="H405" t="s">
        <v>16</v>
      </c>
      <c r="I405">
        <v>0</v>
      </c>
      <c r="J405">
        <v>0</v>
      </c>
      <c r="K405" s="1">
        <v>378708.97</v>
      </c>
    </row>
    <row r="406" spans="1:11" x14ac:dyDescent="0.25">
      <c r="A406">
        <v>2026</v>
      </c>
      <c r="B406">
        <v>2</v>
      </c>
      <c r="C406" t="s">
        <v>507</v>
      </c>
      <c r="D406" t="s">
        <v>486</v>
      </c>
      <c r="E406" t="s">
        <v>487</v>
      </c>
      <c r="F406" t="s">
        <v>488</v>
      </c>
      <c r="G406" t="s">
        <v>46</v>
      </c>
      <c r="H406" t="s">
        <v>16</v>
      </c>
      <c r="I406">
        <v>0</v>
      </c>
      <c r="J406">
        <v>0</v>
      </c>
      <c r="K406" s="1">
        <v>453763.71</v>
      </c>
    </row>
    <row r="407" spans="1:11" x14ac:dyDescent="0.25">
      <c r="A407">
        <v>2026</v>
      </c>
      <c r="B407">
        <v>2</v>
      </c>
      <c r="C407" t="s">
        <v>508</v>
      </c>
      <c r="D407" t="s">
        <v>486</v>
      </c>
      <c r="E407" t="s">
        <v>487</v>
      </c>
      <c r="F407" t="s">
        <v>488</v>
      </c>
      <c r="G407" t="s">
        <v>46</v>
      </c>
      <c r="H407" t="s">
        <v>16</v>
      </c>
      <c r="I407">
        <v>0</v>
      </c>
      <c r="J407">
        <v>0</v>
      </c>
      <c r="K407" s="1">
        <v>21477.83</v>
      </c>
    </row>
    <row r="408" spans="1:11" x14ac:dyDescent="0.25">
      <c r="A408">
        <v>2026</v>
      </c>
      <c r="B408">
        <v>2</v>
      </c>
      <c r="C408" t="s">
        <v>509</v>
      </c>
      <c r="D408" t="s">
        <v>510</v>
      </c>
      <c r="E408" t="s">
        <v>511</v>
      </c>
      <c r="F408" t="s">
        <v>512</v>
      </c>
      <c r="G408" t="s">
        <v>513</v>
      </c>
      <c r="H408" t="s">
        <v>16</v>
      </c>
      <c r="I408" s="1">
        <v>2367.1999999999998</v>
      </c>
      <c r="J408" s="1">
        <v>2367.1999999999998</v>
      </c>
      <c r="K408" s="1">
        <v>2367.1999999999998</v>
      </c>
    </row>
    <row r="409" spans="1:11" x14ac:dyDescent="0.25">
      <c r="A409">
        <v>2026</v>
      </c>
      <c r="B409">
        <v>2</v>
      </c>
      <c r="C409" t="s">
        <v>514</v>
      </c>
      <c r="D409" t="s">
        <v>510</v>
      </c>
      <c r="E409" t="s">
        <v>13</v>
      </c>
      <c r="F409" t="s">
        <v>14</v>
      </c>
      <c r="G409" t="s">
        <v>15</v>
      </c>
      <c r="H409" t="s">
        <v>16</v>
      </c>
      <c r="I409" s="1">
        <v>1894223.07</v>
      </c>
      <c r="J409" s="1">
        <v>1894223.07</v>
      </c>
      <c r="K409" s="1">
        <v>1840297.62</v>
      </c>
    </row>
    <row r="410" spans="1:11" x14ac:dyDescent="0.25">
      <c r="A410">
        <v>2026</v>
      </c>
      <c r="B410">
        <v>2</v>
      </c>
      <c r="C410" t="s">
        <v>515</v>
      </c>
      <c r="D410" t="s">
        <v>510</v>
      </c>
      <c r="E410" t="s">
        <v>511</v>
      </c>
      <c r="F410" t="s">
        <v>516</v>
      </c>
      <c r="G410" t="s">
        <v>136</v>
      </c>
      <c r="H410" t="s">
        <v>16</v>
      </c>
      <c r="I410" s="1">
        <v>629182.07999999996</v>
      </c>
      <c r="J410" s="1">
        <v>629182.07999999996</v>
      </c>
      <c r="K410" s="1">
        <v>629182.07999999996</v>
      </c>
    </row>
    <row r="411" spans="1:11" x14ac:dyDescent="0.25">
      <c r="A411">
        <v>2026</v>
      </c>
      <c r="B411">
        <v>2</v>
      </c>
      <c r="C411" t="s">
        <v>517</v>
      </c>
      <c r="D411" t="s">
        <v>510</v>
      </c>
      <c r="E411" t="s">
        <v>13</v>
      </c>
      <c r="F411" t="s">
        <v>14</v>
      </c>
      <c r="G411" t="s">
        <v>219</v>
      </c>
      <c r="H411" t="s">
        <v>16</v>
      </c>
      <c r="I411" s="1">
        <v>684176.82</v>
      </c>
      <c r="J411" s="1">
        <v>684176.82</v>
      </c>
      <c r="K411" s="1">
        <v>684176.82</v>
      </c>
    </row>
    <row r="412" spans="1:11" x14ac:dyDescent="0.25">
      <c r="A412">
        <v>2026</v>
      </c>
      <c r="B412">
        <v>2</v>
      </c>
      <c r="C412" t="s">
        <v>518</v>
      </c>
      <c r="D412" t="s">
        <v>510</v>
      </c>
      <c r="E412" t="s">
        <v>13</v>
      </c>
      <c r="F412" t="s">
        <v>14</v>
      </c>
      <c r="G412" t="s">
        <v>519</v>
      </c>
      <c r="H412" t="s">
        <v>16</v>
      </c>
      <c r="I412" s="1">
        <v>289689.17</v>
      </c>
      <c r="J412" s="1">
        <v>289689.17</v>
      </c>
      <c r="K412" s="1">
        <v>289689.17</v>
      </c>
    </row>
    <row r="413" spans="1:11" x14ac:dyDescent="0.25">
      <c r="A413">
        <v>2026</v>
      </c>
      <c r="B413">
        <v>2</v>
      </c>
      <c r="C413" t="s">
        <v>520</v>
      </c>
      <c r="D413" t="s">
        <v>510</v>
      </c>
      <c r="E413" t="s">
        <v>13</v>
      </c>
      <c r="F413" t="s">
        <v>14</v>
      </c>
      <c r="G413" t="s">
        <v>225</v>
      </c>
      <c r="H413" t="s">
        <v>16</v>
      </c>
      <c r="I413" s="1">
        <v>261973.71</v>
      </c>
      <c r="J413" s="1">
        <v>261973.71</v>
      </c>
      <c r="K413" s="1">
        <v>251669.53</v>
      </c>
    </row>
    <row r="414" spans="1:11" x14ac:dyDescent="0.25">
      <c r="A414">
        <v>2026</v>
      </c>
      <c r="B414">
        <v>2</v>
      </c>
      <c r="C414" t="s">
        <v>521</v>
      </c>
      <c r="D414" t="s">
        <v>510</v>
      </c>
      <c r="E414" t="s">
        <v>511</v>
      </c>
      <c r="F414" t="s">
        <v>512</v>
      </c>
      <c r="G414" t="s">
        <v>136</v>
      </c>
      <c r="H414" t="s">
        <v>16</v>
      </c>
      <c r="I414" s="1">
        <v>2377531.21</v>
      </c>
      <c r="J414" s="1">
        <v>2377531.21</v>
      </c>
      <c r="K414" s="1">
        <v>2377531.21</v>
      </c>
    </row>
    <row r="415" spans="1:11" x14ac:dyDescent="0.25">
      <c r="A415">
        <v>2026</v>
      </c>
      <c r="B415">
        <v>2</v>
      </c>
      <c r="C415" t="s">
        <v>522</v>
      </c>
      <c r="D415" t="s">
        <v>510</v>
      </c>
      <c r="E415" t="s">
        <v>523</v>
      </c>
      <c r="F415" t="s">
        <v>524</v>
      </c>
      <c r="G415" t="s">
        <v>525</v>
      </c>
      <c r="H415" t="s">
        <v>16</v>
      </c>
      <c r="I415">
        <v>0</v>
      </c>
      <c r="J415" s="1">
        <v>250169.23</v>
      </c>
      <c r="K415" s="1">
        <v>250696.95999999999</v>
      </c>
    </row>
    <row r="416" spans="1:11" x14ac:dyDescent="0.25">
      <c r="A416">
        <v>2026</v>
      </c>
      <c r="B416">
        <v>2</v>
      </c>
      <c r="C416" t="s">
        <v>526</v>
      </c>
      <c r="D416" t="s">
        <v>510</v>
      </c>
      <c r="E416" t="s">
        <v>523</v>
      </c>
      <c r="F416" t="s">
        <v>524</v>
      </c>
      <c r="G416" t="s">
        <v>525</v>
      </c>
      <c r="H416" t="s">
        <v>16</v>
      </c>
      <c r="I416">
        <v>0</v>
      </c>
      <c r="J416" s="1">
        <v>315198.28999999998</v>
      </c>
      <c r="K416" s="1">
        <v>315198.28999999998</v>
      </c>
    </row>
    <row r="417" spans="1:11" x14ac:dyDescent="0.25">
      <c r="A417">
        <v>2026</v>
      </c>
      <c r="B417">
        <v>2</v>
      </c>
      <c r="C417" t="s">
        <v>527</v>
      </c>
      <c r="D417" t="s">
        <v>510</v>
      </c>
      <c r="E417" t="s">
        <v>523</v>
      </c>
      <c r="F417" t="s">
        <v>528</v>
      </c>
      <c r="G417" t="s">
        <v>525</v>
      </c>
      <c r="H417" t="s">
        <v>16</v>
      </c>
      <c r="I417" s="1">
        <v>4903652.34</v>
      </c>
      <c r="J417" s="1">
        <v>4903652.34</v>
      </c>
      <c r="K417" s="1">
        <v>4903652.34</v>
      </c>
    </row>
    <row r="418" spans="1:11" x14ac:dyDescent="0.25">
      <c r="A418">
        <v>2026</v>
      </c>
      <c r="B418">
        <v>2</v>
      </c>
      <c r="C418" t="s">
        <v>529</v>
      </c>
      <c r="D418" t="s">
        <v>510</v>
      </c>
      <c r="E418" t="s">
        <v>523</v>
      </c>
      <c r="F418" t="s">
        <v>524</v>
      </c>
      <c r="G418" t="s">
        <v>530</v>
      </c>
      <c r="H418" t="s">
        <v>16</v>
      </c>
      <c r="I418" s="1">
        <v>1000000</v>
      </c>
      <c r="J418">
        <v>0</v>
      </c>
      <c r="K418">
        <v>0</v>
      </c>
    </row>
    <row r="419" spans="1:11" x14ac:dyDescent="0.25">
      <c r="A419">
        <v>2026</v>
      </c>
      <c r="B419">
        <v>2</v>
      </c>
      <c r="C419" t="s">
        <v>531</v>
      </c>
      <c r="D419" t="s">
        <v>510</v>
      </c>
      <c r="E419" t="s">
        <v>13</v>
      </c>
      <c r="F419" t="s">
        <v>14</v>
      </c>
      <c r="G419" t="s">
        <v>144</v>
      </c>
      <c r="H419" t="s">
        <v>16</v>
      </c>
      <c r="I419" s="1">
        <v>34344.949999999997</v>
      </c>
      <c r="J419" s="1">
        <v>34344.949999999997</v>
      </c>
      <c r="K419" s="1">
        <v>34344.949999999997</v>
      </c>
    </row>
    <row r="420" spans="1:11" x14ac:dyDescent="0.25">
      <c r="A420">
        <v>2026</v>
      </c>
      <c r="B420">
        <v>2</v>
      </c>
      <c r="C420" t="s">
        <v>532</v>
      </c>
      <c r="D420" t="s">
        <v>510</v>
      </c>
      <c r="E420" t="s">
        <v>13</v>
      </c>
      <c r="F420" t="s">
        <v>14</v>
      </c>
      <c r="G420" t="s">
        <v>34</v>
      </c>
      <c r="H420" t="s">
        <v>16</v>
      </c>
      <c r="I420" s="1">
        <v>14592925.970000001</v>
      </c>
      <c r="J420" s="1">
        <v>997130.9</v>
      </c>
      <c r="K420" s="1">
        <v>575100.06000000006</v>
      </c>
    </row>
    <row r="421" spans="1:11" x14ac:dyDescent="0.25">
      <c r="A421">
        <v>2026</v>
      </c>
      <c r="B421">
        <v>2</v>
      </c>
      <c r="C421" t="s">
        <v>533</v>
      </c>
      <c r="D421" t="s">
        <v>510</v>
      </c>
      <c r="E421" t="s">
        <v>13</v>
      </c>
      <c r="F421" t="s">
        <v>14</v>
      </c>
      <c r="G421" t="s">
        <v>34</v>
      </c>
      <c r="H421" t="s">
        <v>16</v>
      </c>
      <c r="I421" s="1">
        <v>100824.86</v>
      </c>
      <c r="J421" s="1">
        <v>276997.83</v>
      </c>
      <c r="K421" s="1">
        <v>185275.16</v>
      </c>
    </row>
    <row r="422" spans="1:11" x14ac:dyDescent="0.25">
      <c r="A422">
        <v>2026</v>
      </c>
      <c r="B422">
        <v>2</v>
      </c>
      <c r="C422" t="s">
        <v>534</v>
      </c>
      <c r="D422" t="s">
        <v>510</v>
      </c>
      <c r="E422" t="s">
        <v>13</v>
      </c>
      <c r="F422" t="s">
        <v>14</v>
      </c>
      <c r="G422" t="s">
        <v>186</v>
      </c>
      <c r="H422" t="s">
        <v>16</v>
      </c>
      <c r="I422" s="1">
        <v>1056288.04</v>
      </c>
      <c r="J422" s="1">
        <v>1056288.04</v>
      </c>
      <c r="K422" s="1">
        <v>1056288.04</v>
      </c>
    </row>
    <row r="423" spans="1:11" x14ac:dyDescent="0.25">
      <c r="A423">
        <v>2026</v>
      </c>
      <c r="B423">
        <v>2</v>
      </c>
      <c r="C423" t="s">
        <v>535</v>
      </c>
      <c r="D423" t="s">
        <v>510</v>
      </c>
      <c r="E423" t="s">
        <v>13</v>
      </c>
      <c r="F423" t="s">
        <v>14</v>
      </c>
      <c r="G423" t="s">
        <v>536</v>
      </c>
      <c r="H423" t="s">
        <v>16</v>
      </c>
      <c r="I423" s="1">
        <v>4483287.83</v>
      </c>
      <c r="J423" s="1">
        <v>4483287.83</v>
      </c>
      <c r="K423" s="1">
        <v>4483287.83</v>
      </c>
    </row>
    <row r="424" spans="1:11" x14ac:dyDescent="0.25">
      <c r="A424">
        <v>2026</v>
      </c>
      <c r="B424">
        <v>2</v>
      </c>
      <c r="C424" t="s">
        <v>537</v>
      </c>
      <c r="D424" t="s">
        <v>510</v>
      </c>
      <c r="E424" t="s">
        <v>13</v>
      </c>
      <c r="F424" t="s">
        <v>14</v>
      </c>
      <c r="G424" t="s">
        <v>519</v>
      </c>
      <c r="H424" t="s">
        <v>16</v>
      </c>
      <c r="I424" s="1">
        <v>55926.239999999998</v>
      </c>
      <c r="J424" s="1">
        <v>55926.239999999998</v>
      </c>
      <c r="K424" s="1">
        <v>55926.239999999998</v>
      </c>
    </row>
    <row r="425" spans="1:11" x14ac:dyDescent="0.25">
      <c r="A425">
        <v>2026</v>
      </c>
      <c r="B425">
        <v>2</v>
      </c>
      <c r="C425" t="s">
        <v>538</v>
      </c>
      <c r="D425" t="s">
        <v>510</v>
      </c>
      <c r="E425" t="s">
        <v>13</v>
      </c>
      <c r="F425" t="s">
        <v>14</v>
      </c>
      <c r="G425" t="s">
        <v>46</v>
      </c>
      <c r="H425" t="s">
        <v>16</v>
      </c>
      <c r="I425" s="1">
        <v>52847.31</v>
      </c>
      <c r="J425" s="1">
        <v>281659.82</v>
      </c>
      <c r="K425" s="1">
        <v>856461.74</v>
      </c>
    </row>
    <row r="426" spans="1:11" x14ac:dyDescent="0.25">
      <c r="A426">
        <v>2026</v>
      </c>
      <c r="B426">
        <v>2</v>
      </c>
      <c r="C426" t="s">
        <v>539</v>
      </c>
      <c r="D426" t="s">
        <v>510</v>
      </c>
      <c r="E426" t="s">
        <v>13</v>
      </c>
      <c r="F426" t="s">
        <v>14</v>
      </c>
      <c r="G426" t="s">
        <v>197</v>
      </c>
      <c r="H426" t="s">
        <v>16</v>
      </c>
      <c r="I426">
        <v>979.7</v>
      </c>
      <c r="J426">
        <v>979.7</v>
      </c>
      <c r="K426" s="1">
        <v>96697.18</v>
      </c>
    </row>
    <row r="427" spans="1:11" x14ac:dyDescent="0.25">
      <c r="A427">
        <v>2026</v>
      </c>
      <c r="B427">
        <v>2</v>
      </c>
      <c r="C427" t="s">
        <v>540</v>
      </c>
      <c r="D427" t="s">
        <v>510</v>
      </c>
      <c r="E427" t="s">
        <v>13</v>
      </c>
      <c r="F427" t="s">
        <v>14</v>
      </c>
      <c r="G427" t="s">
        <v>197</v>
      </c>
      <c r="H427" t="s">
        <v>16</v>
      </c>
      <c r="I427" s="1">
        <v>269378.71000000002</v>
      </c>
      <c r="J427" s="1">
        <v>269378.71000000002</v>
      </c>
      <c r="K427" s="1">
        <v>328743.59000000003</v>
      </c>
    </row>
    <row r="428" spans="1:11" x14ac:dyDescent="0.25">
      <c r="A428">
        <v>2026</v>
      </c>
      <c r="B428">
        <v>2</v>
      </c>
      <c r="C428" t="s">
        <v>541</v>
      </c>
      <c r="D428" t="s">
        <v>510</v>
      </c>
      <c r="E428" t="s">
        <v>523</v>
      </c>
      <c r="F428" t="s">
        <v>524</v>
      </c>
      <c r="G428" t="s">
        <v>542</v>
      </c>
      <c r="H428" t="s">
        <v>16</v>
      </c>
      <c r="I428">
        <v>0</v>
      </c>
      <c r="J428" s="1">
        <v>1184574.1499999999</v>
      </c>
      <c r="K428" s="1">
        <v>1184051.2</v>
      </c>
    </row>
    <row r="429" spans="1:11" x14ac:dyDescent="0.25">
      <c r="A429">
        <v>2026</v>
      </c>
      <c r="B429">
        <v>2</v>
      </c>
      <c r="C429" t="s">
        <v>543</v>
      </c>
      <c r="D429" t="s">
        <v>510</v>
      </c>
      <c r="E429" t="s">
        <v>523</v>
      </c>
      <c r="F429" t="s">
        <v>524</v>
      </c>
      <c r="G429" t="s">
        <v>542</v>
      </c>
      <c r="H429" t="s">
        <v>16</v>
      </c>
      <c r="I429">
        <v>0</v>
      </c>
      <c r="J429" s="1">
        <v>230951.96</v>
      </c>
      <c r="K429" s="1">
        <v>230951.96</v>
      </c>
    </row>
    <row r="430" spans="1:11" x14ac:dyDescent="0.25">
      <c r="A430">
        <v>2026</v>
      </c>
      <c r="B430">
        <v>2</v>
      </c>
      <c r="C430" t="s">
        <v>544</v>
      </c>
      <c r="D430" t="s">
        <v>510</v>
      </c>
      <c r="E430" t="s">
        <v>523</v>
      </c>
      <c r="F430" t="s">
        <v>528</v>
      </c>
      <c r="G430" t="s">
        <v>542</v>
      </c>
      <c r="H430" t="s">
        <v>16</v>
      </c>
      <c r="I430" s="1">
        <v>15184356.82</v>
      </c>
      <c r="J430" s="1">
        <v>15184356.82</v>
      </c>
      <c r="K430" s="1">
        <v>15184356.82</v>
      </c>
    </row>
    <row r="431" spans="1:11" x14ac:dyDescent="0.25">
      <c r="A431">
        <v>2026</v>
      </c>
      <c r="B431">
        <v>2</v>
      </c>
      <c r="C431" t="s">
        <v>545</v>
      </c>
      <c r="D431" t="s">
        <v>510</v>
      </c>
      <c r="E431" t="s">
        <v>523</v>
      </c>
      <c r="F431" t="s">
        <v>524</v>
      </c>
      <c r="G431" t="s">
        <v>546</v>
      </c>
      <c r="H431" t="s">
        <v>16</v>
      </c>
      <c r="I431" s="1">
        <v>18119247.41</v>
      </c>
      <c r="J431" s="1">
        <v>1647204.31</v>
      </c>
      <c r="K431" s="1">
        <v>1647204.31</v>
      </c>
    </row>
    <row r="432" spans="1:11" x14ac:dyDescent="0.25">
      <c r="A432">
        <v>2026</v>
      </c>
      <c r="B432">
        <v>2</v>
      </c>
      <c r="C432" t="s">
        <v>547</v>
      </c>
      <c r="D432" t="s">
        <v>548</v>
      </c>
      <c r="E432" t="s">
        <v>549</v>
      </c>
      <c r="F432" t="s">
        <v>550</v>
      </c>
      <c r="G432" t="s">
        <v>15</v>
      </c>
      <c r="H432" t="s">
        <v>16</v>
      </c>
      <c r="I432" s="1">
        <v>213783.46</v>
      </c>
      <c r="J432" s="1">
        <v>213783.46</v>
      </c>
      <c r="K432" s="1">
        <v>206809.92</v>
      </c>
    </row>
    <row r="433" spans="1:11" x14ac:dyDescent="0.25">
      <c r="A433">
        <v>2026</v>
      </c>
      <c r="B433">
        <v>2</v>
      </c>
      <c r="C433" t="s">
        <v>551</v>
      </c>
      <c r="D433" t="s">
        <v>548</v>
      </c>
      <c r="E433" t="s">
        <v>549</v>
      </c>
      <c r="F433" t="s">
        <v>550</v>
      </c>
      <c r="G433" t="s">
        <v>24</v>
      </c>
      <c r="H433" t="s">
        <v>16</v>
      </c>
      <c r="I433">
        <v>101.5</v>
      </c>
      <c r="J433">
        <v>0</v>
      </c>
      <c r="K433">
        <v>0</v>
      </c>
    </row>
    <row r="434" spans="1:11" x14ac:dyDescent="0.25">
      <c r="A434">
        <v>2026</v>
      </c>
      <c r="B434">
        <v>2</v>
      </c>
      <c r="C434" t="s">
        <v>552</v>
      </c>
      <c r="D434" t="s">
        <v>548</v>
      </c>
      <c r="E434" t="s">
        <v>549</v>
      </c>
      <c r="F434" t="s">
        <v>550</v>
      </c>
      <c r="G434" t="s">
        <v>32</v>
      </c>
      <c r="H434" t="s">
        <v>16</v>
      </c>
      <c r="I434" s="1">
        <v>1093.3699999999999</v>
      </c>
      <c r="J434" s="1">
        <v>1093.3699999999999</v>
      </c>
      <c r="K434" s="1">
        <v>1093.3699999999999</v>
      </c>
    </row>
    <row r="435" spans="1:11" x14ac:dyDescent="0.25">
      <c r="A435">
        <v>2026</v>
      </c>
      <c r="B435">
        <v>2</v>
      </c>
      <c r="C435" t="s">
        <v>553</v>
      </c>
      <c r="D435" t="s">
        <v>548</v>
      </c>
      <c r="E435" t="s">
        <v>549</v>
      </c>
      <c r="F435" t="s">
        <v>550</v>
      </c>
      <c r="G435" t="s">
        <v>32</v>
      </c>
      <c r="H435" t="s">
        <v>16</v>
      </c>
      <c r="I435" s="1">
        <v>35754.61</v>
      </c>
      <c r="J435" s="1">
        <v>10786.12</v>
      </c>
      <c r="K435" s="1">
        <v>10786.12</v>
      </c>
    </row>
    <row r="436" spans="1:11" x14ac:dyDescent="0.25">
      <c r="A436">
        <v>2026</v>
      </c>
      <c r="B436">
        <v>2</v>
      </c>
      <c r="C436" t="s">
        <v>554</v>
      </c>
      <c r="D436" t="s">
        <v>548</v>
      </c>
      <c r="E436" t="s">
        <v>549</v>
      </c>
      <c r="F436" t="s">
        <v>550</v>
      </c>
      <c r="G436" t="s">
        <v>34</v>
      </c>
      <c r="H436" t="s">
        <v>16</v>
      </c>
      <c r="I436" s="1">
        <v>3500</v>
      </c>
      <c r="J436" s="1">
        <v>3500</v>
      </c>
      <c r="K436" s="1">
        <v>1500</v>
      </c>
    </row>
    <row r="437" spans="1:11" x14ac:dyDescent="0.25">
      <c r="A437">
        <v>2026</v>
      </c>
      <c r="B437">
        <v>2</v>
      </c>
      <c r="C437" t="s">
        <v>555</v>
      </c>
      <c r="D437" t="s">
        <v>548</v>
      </c>
      <c r="E437" t="s">
        <v>549</v>
      </c>
      <c r="F437" t="s">
        <v>550</v>
      </c>
      <c r="G437" t="s">
        <v>34</v>
      </c>
      <c r="H437" t="s">
        <v>16</v>
      </c>
      <c r="I437" s="1">
        <v>6772.21</v>
      </c>
      <c r="J437" s="1">
        <v>869979.4</v>
      </c>
      <c r="K437" s="1">
        <v>619672.04</v>
      </c>
    </row>
    <row r="438" spans="1:11" x14ac:dyDescent="0.25">
      <c r="A438">
        <v>2026</v>
      </c>
      <c r="B438">
        <v>2</v>
      </c>
      <c r="C438" t="s">
        <v>556</v>
      </c>
      <c r="D438" t="s">
        <v>548</v>
      </c>
      <c r="E438" t="s">
        <v>549</v>
      </c>
      <c r="F438" t="s">
        <v>550</v>
      </c>
      <c r="G438" t="s">
        <v>34</v>
      </c>
      <c r="H438" t="s">
        <v>16</v>
      </c>
      <c r="I438">
        <v>0</v>
      </c>
      <c r="J438" s="1">
        <v>119181.59</v>
      </c>
      <c r="K438" s="1">
        <v>1043</v>
      </c>
    </row>
    <row r="439" spans="1:11" x14ac:dyDescent="0.25">
      <c r="A439">
        <v>2026</v>
      </c>
      <c r="B439">
        <v>2</v>
      </c>
      <c r="C439" t="s">
        <v>557</v>
      </c>
      <c r="D439" t="s">
        <v>548</v>
      </c>
      <c r="E439" t="s">
        <v>549</v>
      </c>
      <c r="F439" t="s">
        <v>550</v>
      </c>
      <c r="G439" t="s">
        <v>70</v>
      </c>
      <c r="H439" t="s">
        <v>16</v>
      </c>
      <c r="I439">
        <v>0</v>
      </c>
      <c r="J439">
        <v>217.84</v>
      </c>
      <c r="K439">
        <v>217.84</v>
      </c>
    </row>
    <row r="440" spans="1:11" x14ac:dyDescent="0.25">
      <c r="A440">
        <v>2026</v>
      </c>
      <c r="B440">
        <v>2</v>
      </c>
      <c r="C440" t="s">
        <v>558</v>
      </c>
      <c r="D440" t="s">
        <v>548</v>
      </c>
      <c r="E440" t="s">
        <v>549</v>
      </c>
      <c r="F440" t="s">
        <v>550</v>
      </c>
      <c r="G440" t="s">
        <v>46</v>
      </c>
      <c r="H440" t="s">
        <v>16</v>
      </c>
      <c r="I440">
        <v>0</v>
      </c>
      <c r="J440">
        <v>0</v>
      </c>
      <c r="K440">
        <v>165</v>
      </c>
    </row>
    <row r="441" spans="1:11" x14ac:dyDescent="0.25">
      <c r="A441">
        <v>2026</v>
      </c>
      <c r="B441">
        <v>2</v>
      </c>
      <c r="C441" t="s">
        <v>559</v>
      </c>
      <c r="D441" t="s">
        <v>548</v>
      </c>
      <c r="E441" t="s">
        <v>549</v>
      </c>
      <c r="F441" t="s">
        <v>550</v>
      </c>
      <c r="G441" t="s">
        <v>123</v>
      </c>
      <c r="H441" t="s">
        <v>16</v>
      </c>
      <c r="I441">
        <v>0</v>
      </c>
      <c r="J441" s="1">
        <v>30619.69</v>
      </c>
      <c r="K441" s="1">
        <v>30619.69</v>
      </c>
    </row>
    <row r="442" spans="1:11" x14ac:dyDescent="0.25">
      <c r="A442">
        <v>2026</v>
      </c>
      <c r="B442">
        <v>2</v>
      </c>
      <c r="C442" t="s">
        <v>560</v>
      </c>
      <c r="D442" t="s">
        <v>548</v>
      </c>
      <c r="E442" t="s">
        <v>549</v>
      </c>
      <c r="F442" t="s">
        <v>550</v>
      </c>
      <c r="G442" t="s">
        <v>49</v>
      </c>
      <c r="H442" t="s">
        <v>16</v>
      </c>
      <c r="I442">
        <v>0</v>
      </c>
      <c r="J442">
        <v>389.9</v>
      </c>
      <c r="K442">
        <v>389.9</v>
      </c>
    </row>
    <row r="443" spans="1:11" x14ac:dyDescent="0.25">
      <c r="A443">
        <v>2026</v>
      </c>
      <c r="B443">
        <v>2</v>
      </c>
      <c r="C443" t="s">
        <v>561</v>
      </c>
      <c r="D443" t="s">
        <v>548</v>
      </c>
      <c r="E443" t="s">
        <v>549</v>
      </c>
      <c r="F443" t="s">
        <v>550</v>
      </c>
      <c r="G443" t="s">
        <v>49</v>
      </c>
      <c r="H443" t="s">
        <v>16</v>
      </c>
      <c r="I443" s="1">
        <v>5737.12</v>
      </c>
      <c r="J443" s="1">
        <v>5737.12</v>
      </c>
      <c r="K443">
        <v>0</v>
      </c>
    </row>
    <row r="444" spans="1:11" x14ac:dyDescent="0.25">
      <c r="A444">
        <v>2026</v>
      </c>
      <c r="B444">
        <v>2</v>
      </c>
      <c r="C444" t="s">
        <v>562</v>
      </c>
      <c r="D444" t="s">
        <v>548</v>
      </c>
      <c r="E444" t="s">
        <v>549</v>
      </c>
      <c r="F444" t="s">
        <v>550</v>
      </c>
      <c r="G444" t="s">
        <v>46</v>
      </c>
      <c r="H444" t="s">
        <v>16</v>
      </c>
      <c r="I444">
        <v>0</v>
      </c>
      <c r="J444" s="1">
        <v>10650.33</v>
      </c>
      <c r="K444" s="1">
        <v>51920.35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tabSelected="1" workbookViewId="0">
      <selection activeCell="D10" sqref="D10"/>
    </sheetView>
  </sheetViews>
  <sheetFormatPr defaultRowHeight="15" x14ac:dyDescent="0.25"/>
  <cols>
    <col min="1" max="1" width="57.42578125" bestFit="1" customWidth="1"/>
    <col min="2" max="2" width="20.7109375" bestFit="1" customWidth="1"/>
  </cols>
  <sheetData>
    <row r="1" spans="1:2" x14ac:dyDescent="0.25">
      <c r="A1" s="7" t="s">
        <v>566</v>
      </c>
      <c r="B1" t="s">
        <v>568</v>
      </c>
    </row>
    <row r="2" spans="1:2" x14ac:dyDescent="0.25">
      <c r="A2" s="8" t="s">
        <v>12</v>
      </c>
      <c r="B2" s="9">
        <v>67673.06</v>
      </c>
    </row>
    <row r="3" spans="1:2" x14ac:dyDescent="0.25">
      <c r="A3" s="8" t="s">
        <v>464</v>
      </c>
      <c r="B3" s="9">
        <v>474178.14999999997</v>
      </c>
    </row>
    <row r="4" spans="1:2" x14ac:dyDescent="0.25">
      <c r="A4" s="8" t="s">
        <v>548</v>
      </c>
      <c r="B4" s="9">
        <v>924217.23</v>
      </c>
    </row>
    <row r="5" spans="1:2" x14ac:dyDescent="0.25">
      <c r="A5" s="8" t="s">
        <v>52</v>
      </c>
      <c r="B5" s="9">
        <v>1182770.0299999998</v>
      </c>
    </row>
    <row r="6" spans="1:2" x14ac:dyDescent="0.25">
      <c r="A6" s="8" t="s">
        <v>92</v>
      </c>
      <c r="B6" s="9">
        <v>1644914.53</v>
      </c>
    </row>
    <row r="7" spans="1:2" x14ac:dyDescent="0.25">
      <c r="A7" s="8" t="s">
        <v>115</v>
      </c>
      <c r="B7" s="9">
        <v>2361341.12</v>
      </c>
    </row>
    <row r="8" spans="1:2" x14ac:dyDescent="0.25">
      <c r="A8" s="8" t="s">
        <v>18</v>
      </c>
      <c r="B8" s="9">
        <v>3049447.7499999995</v>
      </c>
    </row>
    <row r="9" spans="1:2" x14ac:dyDescent="0.25">
      <c r="A9" s="8" t="s">
        <v>486</v>
      </c>
      <c r="B9" s="9">
        <v>5438913.9299999978</v>
      </c>
    </row>
    <row r="10" spans="1:2" x14ac:dyDescent="0.25">
      <c r="A10" s="8" t="s">
        <v>236</v>
      </c>
      <c r="B10" s="9">
        <v>5975771.5599999996</v>
      </c>
    </row>
    <row r="11" spans="1:2" x14ac:dyDescent="0.25">
      <c r="A11" s="8" t="s">
        <v>262</v>
      </c>
      <c r="B11" s="9">
        <v>8654354.950000003</v>
      </c>
    </row>
    <row r="12" spans="1:2" x14ac:dyDescent="0.25">
      <c r="A12" s="8" t="s">
        <v>74</v>
      </c>
      <c r="B12" s="9">
        <v>8665883.370000001</v>
      </c>
    </row>
    <row r="13" spans="1:2" x14ac:dyDescent="0.25">
      <c r="A13" s="8" t="s">
        <v>291</v>
      </c>
      <c r="B13" s="9">
        <v>25107843.960000001</v>
      </c>
    </row>
    <row r="14" spans="1:2" x14ac:dyDescent="0.25">
      <c r="A14" s="8" t="s">
        <v>438</v>
      </c>
      <c r="B14" s="9">
        <v>30679165.420000002</v>
      </c>
    </row>
    <row r="15" spans="1:2" x14ac:dyDescent="0.25">
      <c r="A15" s="8" t="s">
        <v>510</v>
      </c>
      <c r="B15" s="9">
        <v>37463150.299999997</v>
      </c>
    </row>
    <row r="16" spans="1:2" x14ac:dyDescent="0.25">
      <c r="A16" s="8" t="s">
        <v>310</v>
      </c>
      <c r="B16" s="9">
        <v>84243777.629999995</v>
      </c>
    </row>
    <row r="17" spans="1:2" x14ac:dyDescent="0.25">
      <c r="A17" s="8" t="s">
        <v>131</v>
      </c>
      <c r="B17" s="9">
        <v>97415941.840000004</v>
      </c>
    </row>
    <row r="18" spans="1:2" x14ac:dyDescent="0.25">
      <c r="A18" s="8" t="s">
        <v>567</v>
      </c>
      <c r="B18" s="9">
        <v>313349344.82999998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5:H24"/>
  <sheetViews>
    <sheetView topLeftCell="A5" workbookViewId="0">
      <selection activeCell="F5" sqref="F5:H21"/>
    </sheetView>
  </sheetViews>
  <sheetFormatPr defaultRowHeight="15" x14ac:dyDescent="0.25"/>
  <cols>
    <col min="6" max="6" width="57.42578125" bestFit="1" customWidth="1"/>
    <col min="7" max="7" width="16.85546875" bestFit="1" customWidth="1"/>
    <col min="8" max="8" width="15" bestFit="1" customWidth="1"/>
  </cols>
  <sheetData>
    <row r="5" spans="4:8" x14ac:dyDescent="0.25">
      <c r="F5" s="4" t="s">
        <v>565</v>
      </c>
      <c r="G5" s="5" t="s">
        <v>563</v>
      </c>
      <c r="H5" s="5" t="s">
        <v>564</v>
      </c>
    </row>
    <row r="6" spans="4:8" x14ac:dyDescent="0.25">
      <c r="F6" s="2" t="s">
        <v>12</v>
      </c>
      <c r="G6" s="6">
        <f>SUMIF(despesa_funcao!D:D,Tabela4[[#This Row],[secretaria]],despesa_funcao!K:K)</f>
        <v>67673.06</v>
      </c>
      <c r="H6" s="4">
        <f>COUNTIF(despesa_funcao!D:D,Tabela4[[#This Row],[secretaria]])</f>
        <v>1</v>
      </c>
    </row>
    <row r="7" spans="4:8" x14ac:dyDescent="0.25">
      <c r="F7" s="2" t="s">
        <v>18</v>
      </c>
      <c r="G7" s="6">
        <f>SUMIF(despesa_funcao!D:D,Tabela4[[#This Row],[secretaria]],despesa_funcao!K:K)</f>
        <v>3049447.7499999995</v>
      </c>
      <c r="H7" s="4">
        <f>COUNTIF(despesa_funcao!D:D,Tabela4[[#This Row],[secretaria]])</f>
        <v>21</v>
      </c>
    </row>
    <row r="8" spans="4:8" x14ac:dyDescent="0.25">
      <c r="F8" s="2" t="s">
        <v>52</v>
      </c>
      <c r="G8" s="6">
        <f>SUMIF(despesa_funcao!D:D,Tabela4[[#This Row],[secretaria]],despesa_funcao!K:K)</f>
        <v>1182770.0299999998</v>
      </c>
      <c r="H8" s="4">
        <f>COUNTIF(despesa_funcao!D:D,Tabela4[[#This Row],[secretaria]])</f>
        <v>16</v>
      </c>
    </row>
    <row r="9" spans="4:8" x14ac:dyDescent="0.25">
      <c r="D9" s="2"/>
      <c r="F9" s="2" t="s">
        <v>74</v>
      </c>
      <c r="G9" s="6">
        <f>SUMIF(despesa_funcao!D:D,Tabela4[[#This Row],[secretaria]],despesa_funcao!K:K)</f>
        <v>8665883.370000001</v>
      </c>
      <c r="H9" s="4">
        <f>COUNTIF(despesa_funcao!D:D,Tabela4[[#This Row],[secretaria]])</f>
        <v>16</v>
      </c>
    </row>
    <row r="10" spans="4:8" x14ac:dyDescent="0.25">
      <c r="D10" s="2"/>
      <c r="F10" s="2" t="s">
        <v>92</v>
      </c>
      <c r="G10" s="6">
        <f>SUMIF(despesa_funcao!D:D,Tabela4[[#This Row],[secretaria]],despesa_funcao!K:K)</f>
        <v>1644914.53</v>
      </c>
      <c r="H10" s="4">
        <f>COUNTIF(despesa_funcao!D:D,Tabela4[[#This Row],[secretaria]])</f>
        <v>16</v>
      </c>
    </row>
    <row r="11" spans="4:8" x14ac:dyDescent="0.25">
      <c r="D11" s="2"/>
      <c r="F11" s="2" t="s">
        <v>115</v>
      </c>
      <c r="G11" s="6">
        <f>SUMIF(despesa_funcao!D:D,Tabela4[[#This Row],[secretaria]],despesa_funcao!K:K)</f>
        <v>2361341.12</v>
      </c>
      <c r="H11" s="4">
        <f>COUNTIF(despesa_funcao!D:D,Tabela4[[#This Row],[secretaria]])</f>
        <v>13</v>
      </c>
    </row>
    <row r="12" spans="4:8" x14ac:dyDescent="0.25">
      <c r="D12" s="2"/>
      <c r="F12" s="2" t="s">
        <v>131</v>
      </c>
      <c r="G12" s="6">
        <f>SUMIF(despesa_funcao!D:D,Tabela4[[#This Row],[secretaria]],despesa_funcao!K:K)</f>
        <v>97415941.840000004</v>
      </c>
      <c r="H12" s="4">
        <f>COUNTIF(despesa_funcao!D:D,Tabela4[[#This Row],[secretaria]])</f>
        <v>88</v>
      </c>
    </row>
    <row r="13" spans="4:8" x14ac:dyDescent="0.25">
      <c r="D13" s="2"/>
      <c r="F13" s="2" t="s">
        <v>236</v>
      </c>
      <c r="G13" s="6">
        <f>SUMIF(despesa_funcao!D:D,Tabela4[[#This Row],[secretaria]],despesa_funcao!K:K)</f>
        <v>5975771.5599999996</v>
      </c>
      <c r="H13" s="4">
        <f>COUNTIF(despesa_funcao!D:D,Tabela4[[#This Row],[secretaria]])</f>
        <v>23</v>
      </c>
    </row>
    <row r="14" spans="4:8" x14ac:dyDescent="0.25">
      <c r="D14" s="2"/>
      <c r="F14" s="2" t="s">
        <v>262</v>
      </c>
      <c r="G14" s="6">
        <f>SUMIF(despesa_funcao!D:D,Tabela4[[#This Row],[secretaria]],despesa_funcao!K:K)</f>
        <v>8654354.950000003</v>
      </c>
      <c r="H14" s="4">
        <f>COUNTIF(despesa_funcao!D:D,Tabela4[[#This Row],[secretaria]])</f>
        <v>25</v>
      </c>
    </row>
    <row r="15" spans="4:8" x14ac:dyDescent="0.25">
      <c r="D15" s="2"/>
      <c r="F15" s="2" t="s">
        <v>291</v>
      </c>
      <c r="G15" s="6">
        <f>SUMIF(despesa_funcao!D:D,Tabela4[[#This Row],[secretaria]],despesa_funcao!K:K)</f>
        <v>25107843.960000001</v>
      </c>
      <c r="H15" s="4">
        <f>COUNTIF(despesa_funcao!D:D,Tabela4[[#This Row],[secretaria]])</f>
        <v>15</v>
      </c>
    </row>
    <row r="16" spans="4:8" x14ac:dyDescent="0.25">
      <c r="D16" s="2"/>
      <c r="F16" s="2" t="s">
        <v>310</v>
      </c>
      <c r="G16" s="6">
        <f>SUMIF(despesa_funcao!D:D,Tabela4[[#This Row],[secretaria]],despesa_funcao!K:K)</f>
        <v>84243777.629999995</v>
      </c>
      <c r="H16" s="4">
        <f>COUNTIF(despesa_funcao!D:D,Tabela4[[#This Row],[secretaria]])</f>
        <v>115</v>
      </c>
    </row>
    <row r="17" spans="4:8" x14ac:dyDescent="0.25">
      <c r="D17" s="2"/>
      <c r="F17" s="2" t="s">
        <v>438</v>
      </c>
      <c r="G17" s="6">
        <f>SUMIF(despesa_funcao!D:D,Tabela4[[#This Row],[secretaria]],despesa_funcao!K:K)</f>
        <v>30679165.420000002</v>
      </c>
      <c r="H17" s="4">
        <f>COUNTIF(despesa_funcao!D:D,Tabela4[[#This Row],[secretaria]])</f>
        <v>22</v>
      </c>
    </row>
    <row r="18" spans="4:8" x14ac:dyDescent="0.25">
      <c r="D18" s="2"/>
      <c r="F18" s="2" t="s">
        <v>464</v>
      </c>
      <c r="G18" s="6">
        <f>SUMIF(despesa_funcao!D:D,Tabela4[[#This Row],[secretaria]],despesa_funcao!K:K)</f>
        <v>474178.14999999997</v>
      </c>
      <c r="H18" s="4">
        <f>COUNTIF(despesa_funcao!D:D,Tabela4[[#This Row],[secretaria]])</f>
        <v>14</v>
      </c>
    </row>
    <row r="19" spans="4:8" x14ac:dyDescent="0.25">
      <c r="D19" s="2"/>
      <c r="F19" s="2" t="s">
        <v>486</v>
      </c>
      <c r="G19" s="6">
        <f>SUMIF(despesa_funcao!D:D,Tabela4[[#This Row],[secretaria]],despesa_funcao!K:K)</f>
        <v>5438913.9299999978</v>
      </c>
      <c r="H19" s="4">
        <f>COUNTIF(despesa_funcao!D:D,Tabela4[[#This Row],[secretaria]])</f>
        <v>21</v>
      </c>
    </row>
    <row r="20" spans="4:8" x14ac:dyDescent="0.25">
      <c r="D20" s="2"/>
      <c r="F20" s="2" t="s">
        <v>510</v>
      </c>
      <c r="G20" s="6">
        <f>SUMIF(despesa_funcao!D:D,Tabela4[[#This Row],[secretaria]],despesa_funcao!K:K)</f>
        <v>37463150.299999997</v>
      </c>
      <c r="H20" s="4">
        <f>COUNTIF(despesa_funcao!D:D,Tabela4[[#This Row],[secretaria]])</f>
        <v>24</v>
      </c>
    </row>
    <row r="21" spans="4:8" x14ac:dyDescent="0.25">
      <c r="D21" s="2"/>
      <c r="F21" s="2" t="s">
        <v>548</v>
      </c>
      <c r="G21" s="6">
        <f>SUMIF(despesa_funcao!D:D,Tabela4[[#This Row],[secretaria]],despesa_funcao!K:K)</f>
        <v>924217.23</v>
      </c>
      <c r="H21" s="4">
        <f>COUNTIF(despesa_funcao!D:D,Tabela4[[#This Row],[secretaria]])</f>
        <v>13</v>
      </c>
    </row>
    <row r="22" spans="4:8" x14ac:dyDescent="0.25">
      <c r="D22" s="2"/>
    </row>
    <row r="23" spans="4:8" x14ac:dyDescent="0.25">
      <c r="D23" s="2"/>
    </row>
    <row r="24" spans="4:8" x14ac:dyDescent="0.25">
      <c r="D24" s="3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despesa_funcao</vt:lpstr>
      <vt:lpstr>Planilha2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2026-03-14T00:22:14Z</dcterms:created>
  <dcterms:modified xsi:type="dcterms:W3CDTF">2026-03-14T01:03:18Z</dcterms:modified>
</cp:coreProperties>
</file>